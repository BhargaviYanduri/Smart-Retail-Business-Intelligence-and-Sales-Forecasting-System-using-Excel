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tables/table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slicers/slicer4.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6.xml" ContentType="application/vnd.openxmlformats-officedocument.drawing+xml"/>
  <Override PartName="/xl/slicers/slicer5.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7.xml" ContentType="application/vnd.openxmlformats-officedocument.drawing+xml"/>
  <Override PartName="/xl/slicers/slicer6.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hidePivotFieldList="1" defaultThemeVersion="166925"/>
  <mc:AlternateContent xmlns:mc="http://schemas.openxmlformats.org/markup-compatibility/2006">
    <mc:Choice Requires="x15">
      <x15ac:absPath xmlns:x15ac="http://schemas.microsoft.com/office/spreadsheetml/2010/11/ac" url="https://mitsacin-my.sharepoint.com/personal/23691a3217_mits_ac_in/Documents/"/>
    </mc:Choice>
  </mc:AlternateContent>
  <xr:revisionPtr revIDLastSave="0" documentId="8_{EED031D7-5B66-4D67-BA02-2D69F8ADE671}" xr6:coauthVersionLast="47" xr6:coauthVersionMax="47" xr10:uidLastSave="{00000000-0000-0000-0000-000000000000}"/>
  <bookViews>
    <workbookView xWindow="-120" yWindow="-120" windowWidth="29040" windowHeight="15720" firstSheet="1" activeTab="1" xr2:uid="{2F7E71C0-6C1B-4129-87B8-32E4CF90053F}"/>
  </bookViews>
  <sheets>
    <sheet name="sales target table" sheetId="1" r:id="rId1"/>
    <sheet name="order table" sheetId="2" r:id="rId2"/>
    <sheet name="inventory table" sheetId="3" r:id="rId3"/>
    <sheet name="product table" sheetId="4" r:id="rId4"/>
    <sheet name="customer table" sheetId="5" r:id="rId5"/>
    <sheet name="Region" sheetId="6" r:id="rId6"/>
    <sheet name="Sheet3" sheetId="16" r:id="rId7"/>
    <sheet name="Sheet1" sheetId="7" state="hidden" r:id="rId8"/>
    <sheet name="dash1" sheetId="8" r:id="rId9"/>
    <sheet name="dash2" sheetId="18" r:id="rId10"/>
    <sheet name="dashh3" sheetId="14" r:id="rId11"/>
    <sheet name="dash4" sheetId="17" r:id="rId12"/>
    <sheet name="dash5" sheetId="19" r:id="rId13"/>
  </sheets>
  <definedNames>
    <definedName name="_xlcn.WorksheetConnection_project_1major.xlsxDim_Customer" hidden="1">Dim_Customer[]</definedName>
    <definedName name="_xlcn.WorksheetConnection_project_1major.xlsxDim_Date" hidden="1">Dim_Date[]</definedName>
    <definedName name="_xlcn.WorksheetConnection_project_1major.xlsxDim_Inventory" hidden="1">Dim_Inventory[]</definedName>
    <definedName name="_xlcn.WorksheetConnection_project_1major.xlsxDim_Product" hidden="1">Dim_Product[]</definedName>
    <definedName name="_xlcn.WorksheetConnection_project_1major.xlsxTable1" hidden="1">Table1[]</definedName>
    <definedName name="_xlcn.WorksheetConnection_project_1major.xlsxTable7" hidden="1">Table7[]</definedName>
    <definedName name="Fact_Sales">Table1[]</definedName>
    <definedName name="OrderTable">'order table'!$A$2:$F$31</definedName>
    <definedName name="ProductTable">'product table'!$A$2:$D$31</definedName>
    <definedName name="SalesTable">'sales target table'!$A$2:$B$13</definedName>
    <definedName name="Slicer_Category1">#N/A</definedName>
    <definedName name="Slicer_Category2">#N/A</definedName>
    <definedName name="Slicer_Category3">#N/A</definedName>
    <definedName name="Slicer_Category4">#N/A</definedName>
    <definedName name="Slicer_Month">#N/A</definedName>
    <definedName name="Slicer_Month__Month">#N/A</definedName>
    <definedName name="Slicer_Month1">#N/A</definedName>
    <definedName name="Slicer_Month3">#N/A</definedName>
    <definedName name="Slicer_Region1">#N/A</definedName>
    <definedName name="Slicer_Region2">#N/A</definedName>
    <definedName name="Slicer_Region3">#N/A</definedName>
    <definedName name="Slicer_Region4">#N/A</definedName>
    <definedName name="Slicer_Region5">#N/A</definedName>
    <definedName name="Slicer_Segment1">#N/A</definedName>
    <definedName name="Slicer_Segment2">#N/A</definedName>
    <definedName name="Slicer_Segment3">#N/A</definedName>
  </definedNames>
  <calcPr calcId="191028"/>
  <pivotCaches>
    <pivotCache cacheId="357" r:id="rId14"/>
    <pivotCache cacheId="358" r:id="rId15"/>
    <pivotCache cacheId="359" r:id="rId16"/>
    <pivotCache cacheId="360" r:id="rId17"/>
    <pivotCache cacheId="361" r:id="rId18"/>
    <pivotCache cacheId="362" r:id="rId19"/>
    <pivotCache cacheId="363" r:id="rId20"/>
    <pivotCache cacheId="364" r:id="rId21"/>
    <pivotCache cacheId="365" r:id="rId22"/>
    <pivotCache cacheId="366" r:id="rId23"/>
    <pivotCache cacheId="367" r:id="rId24"/>
    <pivotCache cacheId="368" r:id="rId25"/>
    <pivotCache cacheId="369" r:id="rId26"/>
  </pivotCaches>
  <extLst>
    <ext xmlns:x14="http://schemas.microsoft.com/office/spreadsheetml/2009/9/main" uri="{876F7934-8845-4945-9796-88D515C7AA90}">
      <x14:pivotCaches>
        <pivotCache cacheId="370" r:id="rId27"/>
        <pivotCache cacheId="371" r:id="rId28"/>
        <pivotCache cacheId="372" r:id="rId29"/>
      </x14:pivotCaches>
    </ext>
    <ext xmlns:x14="http://schemas.microsoft.com/office/spreadsheetml/2009/9/main" uri="{BBE1A952-AA13-448e-AADC-164F8A28A991}">
      <x14:slicerCaches>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7" name="Table7" connection="WorksheetConnection_project_1(major).xlsx!Table7"/>
          <x15:modelTable id="Table1" name="Table1" connection="WorksheetConnection_project_1(major).xlsx!Table1"/>
          <x15:modelTable id="Dim_Product" name="Dim_Product" connection="WorksheetConnection_project_1(major).xlsx!Dim_Product"/>
          <x15:modelTable id="Dim_Inventory" name="Dim_Inventory" connection="WorksheetConnection_project_1(major).xlsx!Dim_Inventory"/>
          <x15:modelTable id="Dim_Date" name="Dim_Date" connection="WorksheetConnection_project_1(major).xlsx!Dim_Date"/>
          <x15:modelTable id="Dim_Customer" name="Dim_Customer" connection="WorksheetConnection_project_1(major).xlsx!Dim_Customer"/>
        </x15:modelTables>
        <x15:modelRelationships>
          <x15:modelRelationship fromTable="Table1" fromColumn="CustomerID" toTable="Dim_Customer" toColumn="CustomerID"/>
          <x15:modelRelationship fromTable="Table1" fromColumn="ProductID" toTable="Dim_Product" toColumn="ProductID"/>
          <x15:modelRelationship fromTable="Dim_Product" fromColumn="ProductID" toTable="Dim_Inventory" toColumn="ProductID"/>
          <x15:modelRelationship fromTable="Dim_Customer" fromColumn="State" toTable="Table7" toColumn="State"/>
        </x15:modelRelationships>
        <x15:extLst>
          <ext xmlns:x16="http://schemas.microsoft.com/office/spreadsheetml/2014/11/main" uri="{9835A34E-60A6-4A7C-AAB8-D5F71C897F49}">
            <x16:modelTimeGroupings>
              <x16:modelTimeGrouping tableName="Dim_Date" columnName="Month" columnId="Month">
                <x16:calculatedTimeColumn columnName="Month (Month Index)" columnId="Month (Month Index)" contentType="monthsindex" isSelected="1"/>
                <x16:calculatedTimeColumn columnName="Month (Month)" columnId="Month (Month)" contentType="months" isSelected="1"/>
              </x16:modelTimeGrouping>
              <x16:modelTimeGrouping tableName="Table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C2" i="1"/>
  <c r="C3" i="1"/>
  <c r="C4" i="1"/>
  <c r="C5" i="1"/>
  <c r="C6" i="1"/>
  <c r="C7" i="1"/>
  <c r="C8" i="1"/>
  <c r="C9" i="1"/>
  <c r="C10" i="1"/>
  <c r="C11" i="1"/>
  <c r="C12" i="1"/>
  <c r="C13" i="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G2" i="2"/>
  <c r="H2" i="2" s="1"/>
  <c r="G31" i="2"/>
  <c r="H31" i="2" s="1"/>
  <c r="G30" i="2"/>
  <c r="H30" i="2" s="1"/>
  <c r="G29" i="2"/>
  <c r="H29" i="2" s="1"/>
  <c r="G28" i="2"/>
  <c r="H28" i="2" s="1"/>
  <c r="G27" i="2"/>
  <c r="H27" i="2" s="1"/>
  <c r="G26" i="2"/>
  <c r="H26" i="2" s="1"/>
  <c r="G25" i="2"/>
  <c r="H25" i="2" s="1"/>
  <c r="G24" i="2"/>
  <c r="H24" i="2" s="1"/>
  <c r="G23" i="2"/>
  <c r="H23" i="2" s="1"/>
  <c r="G22" i="2"/>
  <c r="H22" i="2" s="1"/>
  <c r="G21" i="2"/>
  <c r="H21" i="2" s="1"/>
  <c r="G20" i="2"/>
  <c r="H20" i="2" s="1"/>
  <c r="G19" i="2"/>
  <c r="H19" i="2" s="1"/>
  <c r="G18" i="2"/>
  <c r="H18" i="2" s="1"/>
  <c r="G17" i="2"/>
  <c r="H17" i="2" s="1"/>
  <c r="G16" i="2"/>
  <c r="H16" i="2" s="1"/>
  <c r="G15" i="2"/>
  <c r="H15" i="2" s="1"/>
  <c r="G14" i="2"/>
  <c r="H14" i="2" s="1"/>
  <c r="G13" i="2"/>
  <c r="H13" i="2" s="1"/>
  <c r="G12" i="2"/>
  <c r="H12" i="2" s="1"/>
  <c r="G11" i="2"/>
  <c r="H11" i="2" s="1"/>
  <c r="G10" i="2"/>
  <c r="H10" i="2" s="1"/>
  <c r="G9" i="2"/>
  <c r="H9" i="2" s="1"/>
  <c r="G8" i="2"/>
  <c r="H8" i="2" s="1"/>
  <c r="G7" i="2"/>
  <c r="H7" i="2" s="1"/>
  <c r="G6" i="2"/>
  <c r="H6" i="2" s="1"/>
  <c r="G5" i="2"/>
  <c r="H5" i="2" s="1"/>
  <c r="G4" i="2"/>
  <c r="H4" i="2" s="1"/>
  <c r="G3" i="2"/>
  <c r="H3" i="2" s="1"/>
  <c r="C15" i="16"/>
  <c r="C16" i="16"/>
  <c r="C14" i="16"/>
  <c r="C17" i="8"/>
  <c r="G9" i="8"/>
  <c r="G17" i="8"/>
  <c r="C9" i="8"/>
  <c r="E15" i="16"/>
  <c r="D15" i="16"/>
  <c r="E14" i="16"/>
  <c r="D16" i="16"/>
  <c r="E16" i="16"/>
  <c r="D14"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B17EBF-5FAF-4B1E-8D90-EC58CD7FF2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B8CE1DD-8CBB-433A-8FAD-F41E2D497489}" name="WorksheetConnection_project_1(major).xlsx!Dim_Customer" type="102" refreshedVersion="8" minRefreshableVersion="5">
    <extLst>
      <ext xmlns:x15="http://schemas.microsoft.com/office/spreadsheetml/2010/11/main" uri="{DE250136-89BD-433C-8126-D09CA5730AF9}">
        <x15:connection id="Dim_Customer">
          <x15:rangePr sourceName="_xlcn.WorksheetConnection_project_1major.xlsxDim_Customer"/>
        </x15:connection>
      </ext>
    </extLst>
  </connection>
  <connection id="3" xr16:uid="{06AF4AF8-4441-428A-8097-B1DB8E5A872E}" name="WorksheetConnection_project_1(major).xlsx!Dim_Date" type="102" refreshedVersion="8" minRefreshableVersion="5">
    <extLst>
      <ext xmlns:x15="http://schemas.microsoft.com/office/spreadsheetml/2010/11/main" uri="{DE250136-89BD-433C-8126-D09CA5730AF9}">
        <x15:connection id="Dim_Date">
          <x15:rangePr sourceName="_xlcn.WorksheetConnection_project_1major.xlsxDim_Date"/>
        </x15:connection>
      </ext>
    </extLst>
  </connection>
  <connection id="4" xr16:uid="{6E80A4CF-009F-4FAE-A959-3DF408922C1D}" name="WorksheetConnection_project_1(major).xlsx!Dim_Inventory" type="102" refreshedVersion="8" minRefreshableVersion="5">
    <extLst>
      <ext xmlns:x15="http://schemas.microsoft.com/office/spreadsheetml/2010/11/main" uri="{DE250136-89BD-433C-8126-D09CA5730AF9}">
        <x15:connection id="Dim_Inventory">
          <x15:rangePr sourceName="_xlcn.WorksheetConnection_project_1major.xlsxDim_Inventory"/>
        </x15:connection>
      </ext>
    </extLst>
  </connection>
  <connection id="5" xr16:uid="{A3C52BC5-3B7F-43E1-80DC-293FB1950E66}" name="WorksheetConnection_project_1(major).xlsx!Dim_Product" type="102" refreshedVersion="8" minRefreshableVersion="5">
    <extLst>
      <ext xmlns:x15="http://schemas.microsoft.com/office/spreadsheetml/2010/11/main" uri="{DE250136-89BD-433C-8126-D09CA5730AF9}">
        <x15:connection id="Dim_Product">
          <x15:rangePr sourceName="_xlcn.WorksheetConnection_project_1major.xlsxDim_Product"/>
        </x15:connection>
      </ext>
    </extLst>
  </connection>
  <connection id="6" xr16:uid="{E14758B4-3713-4B53-A43B-CC56213F5413}" name="WorksheetConnection_project_1(major).xlsx!Table1" type="102" refreshedVersion="8" minRefreshableVersion="5">
    <extLst>
      <ext xmlns:x15="http://schemas.microsoft.com/office/spreadsheetml/2010/11/main" uri="{DE250136-89BD-433C-8126-D09CA5730AF9}">
        <x15:connection id="Table1">
          <x15:rangePr sourceName="_xlcn.WorksheetConnection_project_1major.xlsxTable1"/>
        </x15:connection>
      </ext>
    </extLst>
  </connection>
  <connection id="7" xr16:uid="{7197EB0B-0950-4EA7-838D-C32254BCEC85}" name="WorksheetConnection_project_1(major).xlsx!Table7" type="102" refreshedVersion="8" minRefreshableVersion="5">
    <extLst>
      <ext xmlns:x15="http://schemas.microsoft.com/office/spreadsheetml/2010/11/main" uri="{DE250136-89BD-433C-8126-D09CA5730AF9}">
        <x15:connection id="Table7">
          <x15:rangePr sourceName="_xlcn.WorksheetConnection_project_1major.xlsxTable7"/>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im_Inventory].[Reorder alert].&amp;[Reorder]}"/>
  </metadataStrings>
  <mdxMetadata count="1">
    <mdx n="0" f="s">
      <ms ns="1" c="0"/>
    </mdx>
  </mdxMetadata>
  <valueMetadata count="1">
    <bk>
      <rc t="1" v="0"/>
    </bk>
  </valueMetadata>
</metadata>
</file>

<file path=xl/sharedStrings.xml><?xml version="1.0" encoding="utf-8"?>
<sst xmlns="http://schemas.openxmlformats.org/spreadsheetml/2006/main" count="581" uniqueCount="241">
  <si>
    <t>Month</t>
  </si>
  <si>
    <t>Target Sales</t>
  </si>
  <si>
    <t>Target achivement</t>
  </si>
  <si>
    <t>OrderID</t>
  </si>
  <si>
    <t>Date</t>
  </si>
  <si>
    <t>CustomerID</t>
  </si>
  <si>
    <t>ProductID</t>
  </si>
  <si>
    <t>Qty</t>
  </si>
  <si>
    <t>Sales</t>
  </si>
  <si>
    <t>profit</t>
  </si>
  <si>
    <t>profit margin</t>
  </si>
  <si>
    <t>avg order value</t>
  </si>
  <si>
    <t>O001</t>
  </si>
  <si>
    <t>C001</t>
  </si>
  <si>
    <t>P001</t>
  </si>
  <si>
    <t>O002</t>
  </si>
  <si>
    <t>C002</t>
  </si>
  <si>
    <t>P002</t>
  </si>
  <si>
    <t>O003</t>
  </si>
  <si>
    <t>C003</t>
  </si>
  <si>
    <t>P003</t>
  </si>
  <si>
    <t>O004</t>
  </si>
  <si>
    <t>C004</t>
  </si>
  <si>
    <t>P004</t>
  </si>
  <si>
    <t>O005</t>
  </si>
  <si>
    <t>C005</t>
  </si>
  <si>
    <t>P005</t>
  </si>
  <si>
    <t>O006</t>
  </si>
  <si>
    <t>P006</t>
  </si>
  <si>
    <t>O007</t>
  </si>
  <si>
    <t>C007</t>
  </si>
  <si>
    <t>P007</t>
  </si>
  <si>
    <t>O008</t>
  </si>
  <si>
    <t>C008</t>
  </si>
  <si>
    <t>P008</t>
  </si>
  <si>
    <t>O009</t>
  </si>
  <si>
    <t>P009</t>
  </si>
  <si>
    <t>O010</t>
  </si>
  <si>
    <t>C010</t>
  </si>
  <si>
    <t>P010</t>
  </si>
  <si>
    <t>O011</t>
  </si>
  <si>
    <t>C011</t>
  </si>
  <si>
    <t>P011</t>
  </si>
  <si>
    <t>O012</t>
  </si>
  <si>
    <t>C012</t>
  </si>
  <si>
    <t>P012</t>
  </si>
  <si>
    <t>O013</t>
  </si>
  <si>
    <t>C015</t>
  </si>
  <si>
    <t>P013</t>
  </si>
  <si>
    <t>O014</t>
  </si>
  <si>
    <t>C014</t>
  </si>
  <si>
    <t>P014</t>
  </si>
  <si>
    <t>O015</t>
  </si>
  <si>
    <t>P015</t>
  </si>
  <si>
    <t>O016</t>
  </si>
  <si>
    <t>C016</t>
  </si>
  <si>
    <t>P016</t>
  </si>
  <si>
    <t>O017</t>
  </si>
  <si>
    <t>C017</t>
  </si>
  <si>
    <t>P017</t>
  </si>
  <si>
    <t>O018</t>
  </si>
  <si>
    <t>C018</t>
  </si>
  <si>
    <t>P018</t>
  </si>
  <si>
    <t>O019</t>
  </si>
  <si>
    <t>P019</t>
  </si>
  <si>
    <t>O020</t>
  </si>
  <si>
    <t>C020</t>
  </si>
  <si>
    <t>P020</t>
  </si>
  <si>
    <t>O021</t>
  </si>
  <si>
    <t>C021</t>
  </si>
  <si>
    <t>P021</t>
  </si>
  <si>
    <t>O022</t>
  </si>
  <si>
    <t>C006</t>
  </si>
  <si>
    <t>P022</t>
  </si>
  <si>
    <t>O023</t>
  </si>
  <si>
    <t>C025</t>
  </si>
  <si>
    <t>P023</t>
  </si>
  <si>
    <t>O024</t>
  </si>
  <si>
    <t>C024</t>
  </si>
  <si>
    <t>P024</t>
  </si>
  <si>
    <t>O025</t>
  </si>
  <si>
    <t>P025</t>
  </si>
  <si>
    <t>O026</t>
  </si>
  <si>
    <t>P026</t>
  </si>
  <si>
    <t>O027</t>
  </si>
  <si>
    <t>C027</t>
  </si>
  <si>
    <t>P027</t>
  </si>
  <si>
    <t>O028</t>
  </si>
  <si>
    <t>C028</t>
  </si>
  <si>
    <t>P028</t>
  </si>
  <si>
    <t>O029</t>
  </si>
  <si>
    <t>P029</t>
  </si>
  <si>
    <t>O030</t>
  </si>
  <si>
    <t>C030</t>
  </si>
  <si>
    <t>P030</t>
  </si>
  <si>
    <t>Current Stock</t>
  </si>
  <si>
    <t>Reorder Level</t>
  </si>
  <si>
    <t>Reorder alert</t>
  </si>
  <si>
    <t>Dead stock alert</t>
  </si>
  <si>
    <t>Product Name</t>
  </si>
  <si>
    <t>Category</t>
  </si>
  <si>
    <t>Cost Price</t>
  </si>
  <si>
    <t>Laptop</t>
  </si>
  <si>
    <t>Electronics</t>
  </si>
  <si>
    <t>Monitor</t>
  </si>
  <si>
    <t>Keyboard</t>
  </si>
  <si>
    <t>Mouse</t>
  </si>
  <si>
    <t>Printer</t>
  </si>
  <si>
    <t>Desk</t>
  </si>
  <si>
    <t>Furniture</t>
  </si>
  <si>
    <t>Chair</t>
  </si>
  <si>
    <t>Bookshelf</t>
  </si>
  <si>
    <t>Whiteboard</t>
  </si>
  <si>
    <t>Office Supplies</t>
  </si>
  <si>
    <t>Notebook</t>
  </si>
  <si>
    <t>Pen Pack</t>
  </si>
  <si>
    <t>Calculator</t>
  </si>
  <si>
    <t>Scanner</t>
  </si>
  <si>
    <t>Webcam</t>
  </si>
  <si>
    <t>Headphones</t>
  </si>
  <si>
    <t>Tablet</t>
  </si>
  <si>
    <t>Sofa</t>
  </si>
  <si>
    <t>Lamp</t>
  </si>
  <si>
    <t>Cabinet</t>
  </si>
  <si>
    <t>Marker Pack</t>
  </si>
  <si>
    <t>Stapler</t>
  </si>
  <si>
    <t>Projector</t>
  </si>
  <si>
    <t>Router</t>
  </si>
  <si>
    <t>Hard Disk</t>
  </si>
  <si>
    <t>Eraser Pack</t>
  </si>
  <si>
    <t>File Folder</t>
  </si>
  <si>
    <t>Standing Desk</t>
  </si>
  <si>
    <t>Office Chair</t>
  </si>
  <si>
    <t>Smart TV</t>
  </si>
  <si>
    <t>Speaker</t>
  </si>
  <si>
    <t>Customer Name</t>
  </si>
  <si>
    <t>City</t>
  </si>
  <si>
    <t>State</t>
  </si>
  <si>
    <t>Segment</t>
  </si>
  <si>
    <t>Ravi Kumar</t>
  </si>
  <si>
    <t>Bangalore</t>
  </si>
  <si>
    <t>Karnataka</t>
  </si>
  <si>
    <t>Consumer</t>
  </si>
  <si>
    <t>Priya Sharma</t>
  </si>
  <si>
    <t>Hyderabad</t>
  </si>
  <si>
    <t>Telangana</t>
  </si>
  <si>
    <t>Corporate</t>
  </si>
  <si>
    <t>Amit Verma</t>
  </si>
  <si>
    <t>Chennai</t>
  </si>
  <si>
    <t>Tamil Nadu</t>
  </si>
  <si>
    <t>Sneha Reddy</t>
  </si>
  <si>
    <t>Mysore</t>
  </si>
  <si>
    <t>Home Office</t>
  </si>
  <si>
    <t>Arjun Singh</t>
  </si>
  <si>
    <t>Pune</t>
  </si>
  <si>
    <t>Maharashtra</t>
  </si>
  <si>
    <t>Kiran Rao</t>
  </si>
  <si>
    <t>Mumbai</t>
  </si>
  <si>
    <t>Neha Jain</t>
  </si>
  <si>
    <t>Delhi</t>
  </si>
  <si>
    <t>Rahul Das</t>
  </si>
  <si>
    <t>Kolkata</t>
  </si>
  <si>
    <t>West Bengal</t>
  </si>
  <si>
    <t>C009</t>
  </si>
  <si>
    <t>Pooja Patel</t>
  </si>
  <si>
    <t>Ahmedabad</t>
  </si>
  <si>
    <t>Gujarat</t>
  </si>
  <si>
    <t>Vivek Gupta</t>
  </si>
  <si>
    <t>Jaipur</t>
  </si>
  <si>
    <t>Rajasthan</t>
  </si>
  <si>
    <t>Suresh Kumar</t>
  </si>
  <si>
    <t>Kochi</t>
  </si>
  <si>
    <t>Kerala</t>
  </si>
  <si>
    <t>Lakshmi Devi</t>
  </si>
  <si>
    <t>Vijayawada</t>
  </si>
  <si>
    <t>Andhra Pradesh</t>
  </si>
  <si>
    <t>C013</t>
  </si>
  <si>
    <t>Rohit Sharma</t>
  </si>
  <si>
    <t>Deepa Nair</t>
  </si>
  <si>
    <t>Mohan Raj</t>
  </si>
  <si>
    <t>Kavya Shetty</t>
  </si>
  <si>
    <t>Mangalore</t>
  </si>
  <si>
    <t>Nitin Joshi</t>
  </si>
  <si>
    <t>Anjali Singh</t>
  </si>
  <si>
    <t>C019</t>
  </si>
  <si>
    <t>Prakash Rao</t>
  </si>
  <si>
    <t>Rekha Jain</t>
  </si>
  <si>
    <t>Sanjay Patel</t>
  </si>
  <si>
    <t>C022</t>
  </si>
  <si>
    <t>Meena Gupta</t>
  </si>
  <si>
    <t>C023</t>
  </si>
  <si>
    <t>Aravind K</t>
  </si>
  <si>
    <t>Preeti Shah</t>
  </si>
  <si>
    <t>Ajay Kumar</t>
  </si>
  <si>
    <t>C026</t>
  </si>
  <si>
    <t>Swathi Rao</t>
  </si>
  <si>
    <t>Vinay Singh</t>
  </si>
  <si>
    <t>Ritu Jain</t>
  </si>
  <si>
    <t>C029</t>
  </si>
  <si>
    <t>Naveen Kumar</t>
  </si>
  <si>
    <t>Karthik S</t>
  </si>
  <si>
    <t>Region</t>
  </si>
  <si>
    <t>South</t>
  </si>
  <si>
    <t>West</t>
  </si>
  <si>
    <t>North</t>
  </si>
  <si>
    <t>East</t>
  </si>
  <si>
    <t>Row Labels</t>
  </si>
  <si>
    <t>Sum of Sales</t>
  </si>
  <si>
    <t>Forecast(Sum of Sales)</t>
  </si>
  <si>
    <t>Lower Confidence Bound(Sum of Sales)</t>
  </si>
  <si>
    <t>Upper Confidence Bound(Sum of Sales)</t>
  </si>
  <si>
    <t>Total Sales</t>
  </si>
  <si>
    <t>Total Profit</t>
  </si>
  <si>
    <t>Profit Margin %</t>
  </si>
  <si>
    <t>Average Order Value</t>
  </si>
  <si>
    <t>No.of Orders</t>
  </si>
  <si>
    <t>No.of cust</t>
  </si>
  <si>
    <t>Inventory turnover</t>
  </si>
  <si>
    <t>target Achievement %</t>
  </si>
  <si>
    <t>Sum of Current Stock</t>
  </si>
  <si>
    <t>Count of Sales</t>
  </si>
  <si>
    <t>Sum of profit</t>
  </si>
  <si>
    <t>repeat customer</t>
  </si>
  <si>
    <t>New Customers</t>
  </si>
  <si>
    <t>Retention Rate</t>
  </si>
  <si>
    <t>Reorder</t>
  </si>
  <si>
    <t>Count of ProductID</t>
  </si>
  <si>
    <t>present</t>
  </si>
  <si>
    <t>Grand Total</t>
  </si>
  <si>
    <t>Sum of Target Sales</t>
  </si>
  <si>
    <t>Column Labels</t>
  </si>
  <si>
    <t>Jan</t>
  </si>
  <si>
    <t>Feb</t>
  </si>
  <si>
    <t>Mar</t>
  </si>
  <si>
    <t>Apr</t>
  </si>
  <si>
    <t>May</t>
  </si>
  <si>
    <t>Jun</t>
  </si>
  <si>
    <r>
      <t xml:space="preserve">   </t>
    </r>
    <r>
      <rPr>
        <b/>
        <sz val="16"/>
        <color theme="1"/>
        <rFont val="Calibri"/>
        <family val="2"/>
        <scheme val="minor"/>
      </rPr>
      <t xml:space="preserve">   TOTAL SALES</t>
    </r>
  </si>
  <si>
    <t>TOTAL PROFIT</t>
  </si>
  <si>
    <t>TOTAL MARGIN %</t>
  </si>
  <si>
    <t>TARGET ACHIVEMENT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</si>
</sst>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36"/>
      <color theme="1"/>
      <name val="Calibri"/>
      <family val="2"/>
      <scheme val="minor"/>
    </font>
    <font>
      <b/>
      <sz val="16"/>
      <color theme="1"/>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4E5FB"/>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center" vertical="center" wrapText="1"/>
    </xf>
    <xf numFmtId="17" fontId="0" fillId="0" borderId="0" xfId="0" applyNumberFormat="1" applyAlignment="1">
      <alignment vertical="center" wrapText="1"/>
    </xf>
    <xf numFmtId="0" fontId="0" fillId="0" borderId="0" xfId="0" applyAlignment="1">
      <alignment vertical="center" wrapText="1"/>
    </xf>
    <xf numFmtId="10" fontId="0" fillId="0" borderId="0" xfId="0" applyNumberFormat="1" applyAlignment="1">
      <alignment vertical="center" wrapText="1"/>
    </xf>
    <xf numFmtId="10" fontId="1" fillId="0" borderId="0" xfId="0" applyNumberFormat="1" applyFont="1" applyAlignment="1">
      <alignment horizontal="center" vertical="center" wrapText="1"/>
    </xf>
    <xf numFmtId="10" fontId="0" fillId="0" borderId="0" xfId="0" applyNumberFormat="1"/>
    <xf numFmtId="0" fontId="0" fillId="2" borderId="0" xfId="0" applyFill="1"/>
    <xf numFmtId="0" fontId="0" fillId="0" borderId="0" xfId="0" pivotButton="1"/>
    <xf numFmtId="0" fontId="0" fillId="0" borderId="0" xfId="0" applyAlignment="1">
      <alignment horizontal="left"/>
    </xf>
    <xf numFmtId="14" fontId="0" fillId="0" borderId="0" xfId="0" applyNumberFormat="1" applyAlignment="1">
      <alignment horizontal="left"/>
    </xf>
    <xf numFmtId="14" fontId="0" fillId="0" borderId="0" xfId="0" applyNumberFormat="1"/>
    <xf numFmtId="2" fontId="0" fillId="0" borderId="0" xfId="0" applyNumberFormat="1"/>
    <xf numFmtId="14" fontId="0" fillId="0" borderId="0" xfId="0" applyNumberFormat="1" applyAlignment="1">
      <alignment vertical="center" wrapText="1"/>
    </xf>
    <xf numFmtId="14" fontId="1" fillId="0" borderId="0" xfId="0" applyNumberFormat="1" applyFont="1" applyAlignment="1">
      <alignment horizontal="center" vertical="center" wrapText="1"/>
    </xf>
    <xf numFmtId="0" fontId="0" fillId="3" borderId="0" xfId="0" applyFill="1"/>
    <xf numFmtId="0" fontId="0" fillId="4" borderId="0" xfId="0" applyFill="1"/>
    <xf numFmtId="0" fontId="0" fillId="5" borderId="0" xfId="0" applyFill="1"/>
    <xf numFmtId="0" fontId="0" fillId="6" borderId="0" xfId="0" applyFill="1"/>
    <xf numFmtId="0" fontId="2" fillId="5" borderId="0" xfId="0" applyFont="1" applyFill="1"/>
    <xf numFmtId="0" fontId="2" fillId="4" borderId="0" xfId="0" applyFont="1" applyFill="1"/>
    <xf numFmtId="0" fontId="3" fillId="4" borderId="0" xfId="0" applyFont="1" applyFill="1"/>
    <xf numFmtId="0" fontId="0" fillId="7" borderId="0" xfId="0" applyFill="1"/>
  </cellXfs>
  <cellStyles count="1">
    <cellStyle name="Normal" xfId="0" builtinId="0"/>
  </cellStyles>
  <dxfs count="40">
    <dxf>
      <numFmt numFmtId="2" formatCode="0.00"/>
    </dxf>
    <dxf>
      <numFmt numFmtId="2" formatCode="0.00"/>
    </dxf>
    <dxf>
      <numFmt numFmtId="164" formatCode="dd/mm/yyyy"/>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color rgb="FF006100"/>
      </font>
      <fill>
        <patternFill>
          <bgColor rgb="FFC6EFCE"/>
        </patternFill>
      </fill>
    </dxf>
    <dxf>
      <font>
        <color rgb="FF9C0006"/>
      </font>
      <fill>
        <patternFill>
          <bgColor rgb="FFFFC7CE"/>
        </patternFill>
      </fill>
    </dxf>
    <dxf>
      <numFmt numFmtId="0" formatCode="General"/>
      <alignment horizontal="general" vertical="center" textRotation="0" wrapText="1" indent="0" justifyLastLine="0" shrinkToFit="0" readingOrder="0"/>
    </dxf>
    <dxf>
      <numFmt numFmtId="14" formatCode="0.00%"/>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A4E6FA"/>
      <color rgb="FFF4E5FB"/>
      <color rgb="FFA1A1DF"/>
      <color rgb="FF8F66A2"/>
      <color rgb="FF9B6D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microsoft.com/office/2007/relationships/slicerCache" Target="slicerCaches/slicerCache13.xml"/><Relationship Id="rId47" Type="http://schemas.openxmlformats.org/officeDocument/2006/relationships/connections" Target="connections.xml"/><Relationship Id="rId63" Type="http://schemas.openxmlformats.org/officeDocument/2006/relationships/customXml" Target="../customXml/item11.xml"/><Relationship Id="rId68" Type="http://schemas.openxmlformats.org/officeDocument/2006/relationships/customXml" Target="../customXml/item16.xml"/><Relationship Id="rId84" Type="http://schemas.openxmlformats.org/officeDocument/2006/relationships/customXml" Target="../customXml/item32.xml"/><Relationship Id="rId89" Type="http://schemas.openxmlformats.org/officeDocument/2006/relationships/customXml" Target="../customXml/item37.xml"/><Relationship Id="rId16" Type="http://schemas.openxmlformats.org/officeDocument/2006/relationships/pivotCacheDefinition" Target="pivotCache/pivotCacheDefinition3.xml"/><Relationship Id="rId11" Type="http://schemas.openxmlformats.org/officeDocument/2006/relationships/worksheet" Target="worksheets/sheet11.xml"/><Relationship Id="rId32" Type="http://schemas.microsoft.com/office/2007/relationships/slicerCache" Target="slicerCaches/slicerCache3.xml"/><Relationship Id="rId37" Type="http://schemas.microsoft.com/office/2007/relationships/slicerCache" Target="slicerCaches/slicerCache8.xml"/><Relationship Id="rId53" Type="http://schemas.openxmlformats.org/officeDocument/2006/relationships/customXml" Target="../customXml/item1.xml"/><Relationship Id="rId58" Type="http://schemas.openxmlformats.org/officeDocument/2006/relationships/customXml" Target="../customXml/item6.xml"/><Relationship Id="rId74" Type="http://schemas.openxmlformats.org/officeDocument/2006/relationships/customXml" Target="../customXml/item22.xml"/><Relationship Id="rId79" Type="http://schemas.openxmlformats.org/officeDocument/2006/relationships/customXml" Target="../customXml/item27.xml"/><Relationship Id="rId5" Type="http://schemas.openxmlformats.org/officeDocument/2006/relationships/worksheet" Target="worksheets/sheet5.xml"/><Relationship Id="rId90" Type="http://schemas.openxmlformats.org/officeDocument/2006/relationships/customXml" Target="../customXml/item38.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microsoft.com/office/2007/relationships/slicerCache" Target="slicerCaches/slicerCache1.xml"/><Relationship Id="rId35" Type="http://schemas.microsoft.com/office/2007/relationships/slicerCache" Target="slicerCaches/slicerCache6.xml"/><Relationship Id="rId43" Type="http://schemas.microsoft.com/office/2007/relationships/slicerCache" Target="slicerCaches/slicerCache14.xml"/><Relationship Id="rId48" Type="http://schemas.openxmlformats.org/officeDocument/2006/relationships/styles" Target="styles.xml"/><Relationship Id="rId56" Type="http://schemas.openxmlformats.org/officeDocument/2006/relationships/customXml" Target="../customXml/item4.xml"/><Relationship Id="rId64" Type="http://schemas.openxmlformats.org/officeDocument/2006/relationships/customXml" Target="../customXml/item12.xml"/><Relationship Id="rId69" Type="http://schemas.openxmlformats.org/officeDocument/2006/relationships/customXml" Target="../customXml/item17.xml"/><Relationship Id="rId77"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powerPivotData" Target="model/item.data"/><Relationship Id="rId72" Type="http://schemas.openxmlformats.org/officeDocument/2006/relationships/customXml" Target="../customXml/item20.xml"/><Relationship Id="rId80" Type="http://schemas.openxmlformats.org/officeDocument/2006/relationships/customXml" Target="../customXml/item28.xml"/><Relationship Id="rId85" Type="http://schemas.openxmlformats.org/officeDocument/2006/relationships/customXml" Target="../customXml/item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microsoft.com/office/2007/relationships/slicerCache" Target="slicerCaches/slicerCache4.xml"/><Relationship Id="rId38" Type="http://schemas.microsoft.com/office/2007/relationships/slicerCache" Target="slicerCaches/slicerCache9.xml"/><Relationship Id="rId46" Type="http://schemas.openxmlformats.org/officeDocument/2006/relationships/theme" Target="theme/theme1.xml"/><Relationship Id="rId59" Type="http://schemas.openxmlformats.org/officeDocument/2006/relationships/customXml" Target="../customXml/item7.xml"/><Relationship Id="rId67" Type="http://schemas.openxmlformats.org/officeDocument/2006/relationships/customXml" Target="../customXml/item15.xml"/><Relationship Id="rId20" Type="http://schemas.openxmlformats.org/officeDocument/2006/relationships/pivotCacheDefinition" Target="pivotCache/pivotCacheDefinition7.xml"/><Relationship Id="rId41" Type="http://schemas.microsoft.com/office/2007/relationships/slicerCache" Target="slicerCaches/slicerCache12.xml"/><Relationship Id="rId54" Type="http://schemas.openxmlformats.org/officeDocument/2006/relationships/customXml" Target="../customXml/item2.xml"/><Relationship Id="rId62" Type="http://schemas.openxmlformats.org/officeDocument/2006/relationships/customXml" Target="../customXml/item10.xml"/><Relationship Id="rId70" Type="http://schemas.openxmlformats.org/officeDocument/2006/relationships/customXml" Target="../customXml/item18.xml"/><Relationship Id="rId75" Type="http://schemas.openxmlformats.org/officeDocument/2006/relationships/customXml" Target="../customXml/item23.xml"/><Relationship Id="rId83" Type="http://schemas.openxmlformats.org/officeDocument/2006/relationships/customXml" Target="../customXml/item31.xml"/><Relationship Id="rId88" Type="http://schemas.openxmlformats.org/officeDocument/2006/relationships/customXml" Target="../customXml/item36.xml"/><Relationship Id="rId91"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microsoft.com/office/2007/relationships/slicerCache" Target="slicerCaches/slicerCache7.xml"/><Relationship Id="rId49" Type="http://schemas.openxmlformats.org/officeDocument/2006/relationships/sharedStrings" Target="sharedStrings.xml"/><Relationship Id="rId57" Type="http://schemas.openxmlformats.org/officeDocument/2006/relationships/customXml" Target="../customXml/item5.xml"/><Relationship Id="rId10" Type="http://schemas.openxmlformats.org/officeDocument/2006/relationships/worksheet" Target="worksheets/sheet10.xml"/><Relationship Id="rId31" Type="http://schemas.microsoft.com/office/2007/relationships/slicerCache" Target="slicerCaches/slicerCache2.xml"/><Relationship Id="rId44" Type="http://schemas.microsoft.com/office/2007/relationships/slicerCache" Target="slicerCaches/slicerCache15.xml"/><Relationship Id="rId52" Type="http://schemas.openxmlformats.org/officeDocument/2006/relationships/calcChain" Target="calcChain.xml"/><Relationship Id="rId60" Type="http://schemas.openxmlformats.org/officeDocument/2006/relationships/customXml" Target="../customXml/item8.xml"/><Relationship Id="rId65" Type="http://schemas.openxmlformats.org/officeDocument/2006/relationships/customXml" Target="../customXml/item13.xml"/><Relationship Id="rId73" Type="http://schemas.openxmlformats.org/officeDocument/2006/relationships/customXml" Target="../customXml/item21.xml"/><Relationship Id="rId78" Type="http://schemas.openxmlformats.org/officeDocument/2006/relationships/customXml" Target="../customXml/item26.xml"/><Relationship Id="rId81" Type="http://schemas.openxmlformats.org/officeDocument/2006/relationships/customXml" Target="../customXml/item29.xml"/><Relationship Id="rId86"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microsoft.com/office/2007/relationships/slicerCache" Target="slicerCaches/slicerCache10.xml"/><Relationship Id="rId34" Type="http://schemas.microsoft.com/office/2007/relationships/slicerCache" Target="slicerCaches/slicerCache5.xml"/><Relationship Id="rId50" Type="http://schemas.openxmlformats.org/officeDocument/2006/relationships/sheetMetadata" Target="metadata.xml"/><Relationship Id="rId55" Type="http://schemas.openxmlformats.org/officeDocument/2006/relationships/customXml" Target="../customXml/item3.xml"/><Relationship Id="rId76" Type="http://schemas.openxmlformats.org/officeDocument/2006/relationships/customXml" Target="../customXml/item24.xml"/><Relationship Id="rId7" Type="http://schemas.openxmlformats.org/officeDocument/2006/relationships/worksheet" Target="worksheets/sheet7.xml"/><Relationship Id="rId71" Type="http://schemas.openxmlformats.org/officeDocument/2006/relationships/customXml" Target="../customXml/item19.xml"/><Relationship Id="rId92" Type="http://schemas.openxmlformats.org/officeDocument/2006/relationships/customXml" Target="../customXml/item40.xml"/><Relationship Id="rId2" Type="http://schemas.openxmlformats.org/officeDocument/2006/relationships/worksheet" Target="worksheets/sheet2.xml"/><Relationship Id="rId29" Type="http://schemas.openxmlformats.org/officeDocument/2006/relationships/pivotCacheDefinition" Target="pivotCache/pivotCacheDefinition16.xml"/><Relationship Id="rId24" Type="http://schemas.openxmlformats.org/officeDocument/2006/relationships/pivotCacheDefinition" Target="pivotCache/pivotCacheDefinition11.xml"/><Relationship Id="rId40" Type="http://schemas.microsoft.com/office/2007/relationships/slicerCache" Target="slicerCaches/slicerCache11.xml"/><Relationship Id="rId45" Type="http://schemas.microsoft.com/office/2007/relationships/slicerCache" Target="slicerCaches/slicerCache16.xml"/><Relationship Id="rId66" Type="http://schemas.openxmlformats.org/officeDocument/2006/relationships/customXml" Target="../customXml/item14.xml"/><Relationship Id="rId87" Type="http://schemas.openxmlformats.org/officeDocument/2006/relationships/customXml" Target="../customXml/item35.xml"/><Relationship Id="rId61" Type="http://schemas.openxmlformats.org/officeDocument/2006/relationships/customXml" Target="../customXml/item9.xml"/><Relationship Id="rId82" Type="http://schemas.openxmlformats.org/officeDocument/2006/relationships/customXml" Target="../customXml/item30.xml"/><Relationship Id="rId1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458457149633468E-2"/>
          <c:y val="4.0658323351056874E-2"/>
          <c:w val="0.90965624758099484"/>
          <c:h val="0.71692522763592126"/>
        </c:manualLayout>
      </c:layout>
      <c:lineChart>
        <c:grouping val="standard"/>
        <c:varyColors val="0"/>
        <c:ser>
          <c:idx val="0"/>
          <c:order val="0"/>
          <c:tx>
            <c:strRef>
              <c:f>Sheet3!$B$1</c:f>
              <c:strCache>
                <c:ptCount val="1"/>
                <c:pt idx="0">
                  <c:v>Sum of Sales</c:v>
                </c:pt>
              </c:strCache>
            </c:strRef>
          </c:tx>
          <c:spPr>
            <a:ln w="28575" cap="rnd">
              <a:solidFill>
                <a:schemeClr val="accent1"/>
              </a:solidFill>
              <a:round/>
            </a:ln>
            <a:effectLst/>
          </c:spPr>
          <c:marker>
            <c:symbol val="none"/>
          </c:marker>
          <c:val>
            <c:numRef>
              <c:f>Sheet3!$B$2:$B$16</c:f>
              <c:numCache>
                <c:formatCode>General</c:formatCode>
                <c:ptCount val="15"/>
                <c:pt idx="0">
                  <c:v>377600</c:v>
                </c:pt>
                <c:pt idx="1">
                  <c:v>377600</c:v>
                </c:pt>
                <c:pt idx="2">
                  <c:v>377600</c:v>
                </c:pt>
                <c:pt idx="3">
                  <c:v>377600</c:v>
                </c:pt>
                <c:pt idx="4">
                  <c:v>377600</c:v>
                </c:pt>
                <c:pt idx="5">
                  <c:v>377600</c:v>
                </c:pt>
                <c:pt idx="6">
                  <c:v>377600</c:v>
                </c:pt>
                <c:pt idx="7">
                  <c:v>377600</c:v>
                </c:pt>
                <c:pt idx="8">
                  <c:v>377600</c:v>
                </c:pt>
                <c:pt idx="9">
                  <c:v>377600</c:v>
                </c:pt>
                <c:pt idx="10">
                  <c:v>377600</c:v>
                </c:pt>
                <c:pt idx="11">
                  <c:v>377600</c:v>
                </c:pt>
              </c:numCache>
            </c:numRef>
          </c:val>
          <c:smooth val="0"/>
          <c:extLst>
            <c:ext xmlns:c16="http://schemas.microsoft.com/office/drawing/2014/chart" uri="{C3380CC4-5D6E-409C-BE32-E72D297353CC}">
              <c16:uniqueId val="{00000000-87D0-4DCF-9863-587749C42445}"/>
            </c:ext>
          </c:extLst>
        </c:ser>
        <c:ser>
          <c:idx val="1"/>
          <c:order val="1"/>
          <c:tx>
            <c:strRef>
              <c:f>Sheet3!$C$1</c:f>
              <c:strCache>
                <c:ptCount val="1"/>
                <c:pt idx="0">
                  <c:v>Forecast(Sum of Sales)</c:v>
                </c:pt>
              </c:strCache>
            </c:strRef>
          </c:tx>
          <c:spPr>
            <a:ln w="25400" cap="rnd">
              <a:solidFill>
                <a:schemeClr val="accent2"/>
              </a:solidFill>
              <a:round/>
            </a:ln>
            <a:effectLst/>
          </c:spPr>
          <c:marker>
            <c:symbol val="none"/>
          </c:marker>
          <c:cat>
            <c:numRef>
              <c:f>Sheet3!$A$2:$A$16</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f>Sheet3!$C$2:$C$16</c:f>
              <c:numCache>
                <c:formatCode>General</c:formatCode>
                <c:ptCount val="15"/>
                <c:pt idx="11">
                  <c:v>377600</c:v>
                </c:pt>
                <c:pt idx="12">
                  <c:v>377600</c:v>
                </c:pt>
                <c:pt idx="13">
                  <c:v>377600</c:v>
                </c:pt>
                <c:pt idx="14">
                  <c:v>377600</c:v>
                </c:pt>
              </c:numCache>
            </c:numRef>
          </c:val>
          <c:smooth val="0"/>
          <c:extLst>
            <c:ext xmlns:c16="http://schemas.microsoft.com/office/drawing/2014/chart" uri="{C3380CC4-5D6E-409C-BE32-E72D297353CC}">
              <c16:uniqueId val="{00000001-87D0-4DCF-9863-587749C42445}"/>
            </c:ext>
          </c:extLst>
        </c:ser>
        <c:ser>
          <c:idx val="2"/>
          <c:order val="2"/>
          <c:tx>
            <c:strRef>
              <c:f>Sheet3!$D$1</c:f>
              <c:strCache>
                <c:ptCount val="1"/>
                <c:pt idx="0">
                  <c:v>Lower Confidence Bound(Sum of Sales)</c:v>
                </c:pt>
              </c:strCache>
            </c:strRef>
          </c:tx>
          <c:spPr>
            <a:ln w="12700" cap="rnd">
              <a:solidFill>
                <a:srgbClr val="ED7D31"/>
              </a:solidFill>
              <a:prstDash val="solid"/>
              <a:round/>
            </a:ln>
            <a:effectLst/>
          </c:spPr>
          <c:marker>
            <c:symbol val="none"/>
          </c:marker>
          <c:cat>
            <c:numRef>
              <c:f>Sheet3!$A$2:$A$16</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f>Sheet3!$D$2:$D$16</c:f>
              <c:numCache>
                <c:formatCode>General</c:formatCode>
                <c:ptCount val="15"/>
                <c:pt idx="11" formatCode="0.00">
                  <c:v>377600</c:v>
                </c:pt>
                <c:pt idx="12" formatCode="0.00">
                  <c:v>377600</c:v>
                </c:pt>
                <c:pt idx="13" formatCode="0.00">
                  <c:v>377600</c:v>
                </c:pt>
                <c:pt idx="14" formatCode="0.00">
                  <c:v>377600</c:v>
                </c:pt>
              </c:numCache>
            </c:numRef>
          </c:val>
          <c:smooth val="0"/>
          <c:extLst>
            <c:ext xmlns:c16="http://schemas.microsoft.com/office/drawing/2014/chart" uri="{C3380CC4-5D6E-409C-BE32-E72D297353CC}">
              <c16:uniqueId val="{00000002-87D0-4DCF-9863-587749C42445}"/>
            </c:ext>
          </c:extLst>
        </c:ser>
        <c:ser>
          <c:idx val="3"/>
          <c:order val="3"/>
          <c:tx>
            <c:strRef>
              <c:f>Sheet3!$E$1</c:f>
              <c:strCache>
                <c:ptCount val="1"/>
                <c:pt idx="0">
                  <c:v>Upper Confidence Bound(Sum of Sales)</c:v>
                </c:pt>
              </c:strCache>
            </c:strRef>
          </c:tx>
          <c:spPr>
            <a:ln w="12700" cap="rnd">
              <a:solidFill>
                <a:srgbClr val="ED7D31"/>
              </a:solidFill>
              <a:prstDash val="solid"/>
              <a:round/>
            </a:ln>
            <a:effectLst/>
          </c:spPr>
          <c:marker>
            <c:symbol val="none"/>
          </c:marker>
          <c:cat>
            <c:numRef>
              <c:f>Sheet3!$A$2:$A$16</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f>Sheet3!$E$2:$E$16</c:f>
              <c:numCache>
                <c:formatCode>General</c:formatCode>
                <c:ptCount val="15"/>
                <c:pt idx="11" formatCode="0.00">
                  <c:v>377600</c:v>
                </c:pt>
                <c:pt idx="12" formatCode="0.00">
                  <c:v>377600</c:v>
                </c:pt>
                <c:pt idx="13" formatCode="0.00">
                  <c:v>377600</c:v>
                </c:pt>
                <c:pt idx="14" formatCode="0.00">
                  <c:v>377600</c:v>
                </c:pt>
              </c:numCache>
            </c:numRef>
          </c:val>
          <c:smooth val="0"/>
          <c:extLst>
            <c:ext xmlns:c16="http://schemas.microsoft.com/office/drawing/2014/chart" uri="{C3380CC4-5D6E-409C-BE32-E72D297353CC}">
              <c16:uniqueId val="{00000003-87D0-4DCF-9863-587749C42445}"/>
            </c:ext>
          </c:extLst>
        </c:ser>
        <c:dLbls>
          <c:showLegendKey val="0"/>
          <c:showVal val="0"/>
          <c:showCatName val="0"/>
          <c:showSerName val="0"/>
          <c:showPercent val="0"/>
          <c:showBubbleSize val="0"/>
        </c:dLbls>
        <c:smooth val="0"/>
        <c:axId val="276689151"/>
        <c:axId val="240784079"/>
      </c:lineChart>
      <c:catAx>
        <c:axId val="27668915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784079"/>
        <c:crosses val="autoZero"/>
        <c:auto val="1"/>
        <c:lblAlgn val="ctr"/>
        <c:lblOffset val="100"/>
        <c:noMultiLvlLbl val="0"/>
      </c:catAx>
      <c:valAx>
        <c:axId val="24078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689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Sheet1!$P$6</c:f>
              <c:strCache>
                <c:ptCount val="1"/>
                <c:pt idx="0">
                  <c:v>Total</c:v>
                </c:pt>
              </c:strCache>
            </c:strRef>
          </c:tx>
          <c:spPr>
            <a:solidFill>
              <a:schemeClr val="accent1"/>
            </a:solidFill>
            <a:ln>
              <a:noFill/>
            </a:ln>
            <a:effectLst/>
          </c:spPr>
          <c:invertIfNegative val="0"/>
          <c:cat>
            <c:strRef>
              <c:f>Sheet1!$O$7:$O$10</c:f>
              <c:strCache>
                <c:ptCount val="3"/>
                <c:pt idx="0">
                  <c:v>Electronics</c:v>
                </c:pt>
                <c:pt idx="1">
                  <c:v>Furniture</c:v>
                </c:pt>
                <c:pt idx="2">
                  <c:v>Office Supplies</c:v>
                </c:pt>
              </c:strCache>
            </c:strRef>
          </c:cat>
          <c:val>
            <c:numRef>
              <c:f>Sheet1!$P$7:$P$10</c:f>
              <c:numCache>
                <c:formatCode>General</c:formatCode>
                <c:ptCount val="3"/>
                <c:pt idx="0">
                  <c:v>256900</c:v>
                </c:pt>
                <c:pt idx="1">
                  <c:v>97000</c:v>
                </c:pt>
                <c:pt idx="2">
                  <c:v>23700</c:v>
                </c:pt>
              </c:numCache>
            </c:numRef>
          </c:val>
          <c:extLst>
            <c:ext xmlns:c16="http://schemas.microsoft.com/office/drawing/2014/chart" uri="{C3380CC4-5D6E-409C-BE32-E72D297353CC}">
              <c16:uniqueId val="{00000000-A7B9-4776-AD44-FB3C416E4795}"/>
            </c:ext>
          </c:extLst>
        </c:ser>
        <c:dLbls>
          <c:showLegendKey val="0"/>
          <c:showVal val="0"/>
          <c:showCatName val="0"/>
          <c:showSerName val="0"/>
          <c:showPercent val="0"/>
          <c:showBubbleSize val="0"/>
        </c:dLbls>
        <c:gapWidth val="219"/>
        <c:overlap val="-27"/>
        <c:axId val="574649967"/>
        <c:axId val="585897823"/>
      </c:barChart>
      <c:catAx>
        <c:axId val="57464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897823"/>
        <c:crosses val="autoZero"/>
        <c:auto val="1"/>
        <c:lblAlgn val="ctr"/>
        <c:lblOffset val="100"/>
        <c:noMultiLvlLbl val="0"/>
      </c:catAx>
      <c:valAx>
        <c:axId val="58589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64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Sheet1!$AA$5</c:f>
              <c:strCache>
                <c:ptCount val="1"/>
                <c:pt idx="0">
                  <c:v>Total</c:v>
                </c:pt>
              </c:strCache>
            </c:strRef>
          </c:tx>
          <c:spPr>
            <a:solidFill>
              <a:schemeClr val="accent1"/>
            </a:solidFill>
            <a:ln>
              <a:noFill/>
            </a:ln>
            <a:effectLst/>
          </c:spPr>
          <c:invertIfNegative val="0"/>
          <c:cat>
            <c:strRef>
              <c:f>Sheet1!$Z$6:$Z$10</c:f>
              <c:strCache>
                <c:ptCount val="4"/>
                <c:pt idx="0">
                  <c:v>East</c:v>
                </c:pt>
                <c:pt idx="1">
                  <c:v>North</c:v>
                </c:pt>
                <c:pt idx="2">
                  <c:v>South</c:v>
                </c:pt>
                <c:pt idx="3">
                  <c:v>West</c:v>
                </c:pt>
              </c:strCache>
            </c:strRef>
          </c:cat>
          <c:val>
            <c:numRef>
              <c:f>Sheet1!$AA$6:$AA$10</c:f>
              <c:numCache>
                <c:formatCode>General</c:formatCode>
                <c:ptCount val="4"/>
                <c:pt idx="0">
                  <c:v>6000</c:v>
                </c:pt>
                <c:pt idx="1">
                  <c:v>23000</c:v>
                </c:pt>
                <c:pt idx="2">
                  <c:v>246100</c:v>
                </c:pt>
                <c:pt idx="3">
                  <c:v>102500</c:v>
                </c:pt>
              </c:numCache>
            </c:numRef>
          </c:val>
          <c:extLst>
            <c:ext xmlns:c16="http://schemas.microsoft.com/office/drawing/2014/chart" uri="{C3380CC4-5D6E-409C-BE32-E72D297353CC}">
              <c16:uniqueId val="{00000000-6563-41A9-A526-CD344974D523}"/>
            </c:ext>
          </c:extLst>
        </c:ser>
        <c:dLbls>
          <c:showLegendKey val="0"/>
          <c:showVal val="0"/>
          <c:showCatName val="0"/>
          <c:showSerName val="0"/>
          <c:showPercent val="0"/>
          <c:showBubbleSize val="0"/>
        </c:dLbls>
        <c:gapWidth val="182"/>
        <c:axId val="576043951"/>
        <c:axId val="576044431"/>
      </c:barChart>
      <c:catAx>
        <c:axId val="576043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044431"/>
        <c:crosses val="autoZero"/>
        <c:auto val="1"/>
        <c:lblAlgn val="ctr"/>
        <c:lblOffset val="100"/>
        <c:noMultiLvlLbl val="0"/>
      </c:catAx>
      <c:valAx>
        <c:axId val="576044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04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1426071741033"/>
          <c:y val="0.2401367016622922"/>
          <c:w val="0.6965853018372703"/>
          <c:h val="0.41517898804316128"/>
        </c:manualLayout>
      </c:layout>
      <c:lineChart>
        <c:grouping val="standard"/>
        <c:varyColors val="0"/>
        <c:ser>
          <c:idx val="0"/>
          <c:order val="0"/>
          <c:tx>
            <c:strRef>
              <c:f>Sheet1!$AG$5</c:f>
              <c:strCache>
                <c:ptCount val="1"/>
                <c:pt idx="0">
                  <c:v>Total</c:v>
                </c:pt>
              </c:strCache>
            </c:strRef>
          </c:tx>
          <c:spPr>
            <a:ln w="28575" cap="rnd">
              <a:solidFill>
                <a:schemeClr val="accent6"/>
              </a:solidFill>
              <a:round/>
            </a:ln>
            <a:effectLst/>
          </c:spPr>
          <c:marker>
            <c:symbol val="none"/>
          </c:marker>
          <c:cat>
            <c:strRef>
              <c:f>Sheet1!$AF$6:$AF$18</c:f>
              <c:strCache>
                <c:ptCount val="12"/>
                <c:pt idx="0">
                  <c:v>1/1/2025</c:v>
                </c:pt>
                <c:pt idx="1">
                  <c:v>2/1/2025</c:v>
                </c:pt>
                <c:pt idx="2">
                  <c:v>3/1/2025</c:v>
                </c:pt>
                <c:pt idx="3">
                  <c:v>4/1/2025</c:v>
                </c:pt>
                <c:pt idx="4">
                  <c:v>5/1/2025</c:v>
                </c:pt>
                <c:pt idx="5">
                  <c:v>6/1/2025</c:v>
                </c:pt>
                <c:pt idx="6">
                  <c:v>7/1/2025</c:v>
                </c:pt>
                <c:pt idx="7">
                  <c:v>8/1/2025</c:v>
                </c:pt>
                <c:pt idx="8">
                  <c:v>9/1/2025</c:v>
                </c:pt>
                <c:pt idx="9">
                  <c:v>10/1/2025</c:v>
                </c:pt>
                <c:pt idx="10">
                  <c:v>11/1/2025</c:v>
                </c:pt>
                <c:pt idx="11">
                  <c:v>12/1/2025</c:v>
                </c:pt>
              </c:strCache>
            </c:strRef>
          </c:cat>
          <c:val>
            <c:numRef>
              <c:f>Sheet1!$AG$6:$AG$18</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smooth val="0"/>
          <c:extLst>
            <c:ext xmlns:c16="http://schemas.microsoft.com/office/drawing/2014/chart" uri="{C3380CC4-5D6E-409C-BE32-E72D297353CC}">
              <c16:uniqueId val="{00000000-F5E8-4995-A1B9-A9B8D695ED57}"/>
            </c:ext>
          </c:extLst>
        </c:ser>
        <c:dLbls>
          <c:showLegendKey val="0"/>
          <c:showVal val="0"/>
          <c:showCatName val="0"/>
          <c:showSerName val="0"/>
          <c:showPercent val="0"/>
          <c:showBubbleSize val="0"/>
        </c:dLbls>
        <c:smooth val="0"/>
        <c:axId val="587193583"/>
        <c:axId val="587191663"/>
      </c:lineChart>
      <c:catAx>
        <c:axId val="58719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191663"/>
        <c:crosses val="autoZero"/>
        <c:auto val="1"/>
        <c:lblAlgn val="ctr"/>
        <c:lblOffset val="100"/>
        <c:noMultiLvlLbl val="0"/>
      </c:catAx>
      <c:valAx>
        <c:axId val="58719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19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cust names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Sheet1!$AW$5</c:f>
              <c:strCache>
                <c:ptCount val="1"/>
                <c:pt idx="0">
                  <c:v>Total</c:v>
                </c:pt>
              </c:strCache>
            </c:strRef>
          </c:tx>
          <c:spPr>
            <a:solidFill>
              <a:schemeClr val="accent1"/>
            </a:solidFill>
            <a:ln>
              <a:noFill/>
            </a:ln>
            <a:effectLst/>
          </c:spPr>
          <c:invertIfNegative val="0"/>
          <c:cat>
            <c:strRef>
              <c:f>Sheet1!$AV$6:$AV$29</c:f>
              <c:strCache>
                <c:ptCount val="23"/>
                <c:pt idx="0">
                  <c:v>Ajay Kumar</c:v>
                </c:pt>
                <c:pt idx="1">
                  <c:v>Ravi Kumar</c:v>
                </c:pt>
                <c:pt idx="2">
                  <c:v>Kiran Rao</c:v>
                </c:pt>
                <c:pt idx="3">
                  <c:v>Nitin Joshi</c:v>
                </c:pt>
                <c:pt idx="4">
                  <c:v>Mohan Raj</c:v>
                </c:pt>
                <c:pt idx="5">
                  <c:v>Kavya Shetty</c:v>
                </c:pt>
                <c:pt idx="6">
                  <c:v>Priya Sharma</c:v>
                </c:pt>
                <c:pt idx="7">
                  <c:v>Sneha Reddy</c:v>
                </c:pt>
                <c:pt idx="8">
                  <c:v>Arjun Singh</c:v>
                </c:pt>
                <c:pt idx="9">
                  <c:v>Vinay Singh</c:v>
                </c:pt>
                <c:pt idx="10">
                  <c:v>Amit Verma</c:v>
                </c:pt>
                <c:pt idx="11">
                  <c:v>Ritu Jain</c:v>
                </c:pt>
                <c:pt idx="12">
                  <c:v>Preeti Shah</c:v>
                </c:pt>
                <c:pt idx="13">
                  <c:v>Neha Jain</c:v>
                </c:pt>
                <c:pt idx="14">
                  <c:v>Anjali Singh</c:v>
                </c:pt>
                <c:pt idx="15">
                  <c:v>Rahul Das</c:v>
                </c:pt>
                <c:pt idx="16">
                  <c:v>Deepa Nair</c:v>
                </c:pt>
                <c:pt idx="17">
                  <c:v>Sanjay Patel</c:v>
                </c:pt>
                <c:pt idx="18">
                  <c:v>Karthik S</c:v>
                </c:pt>
                <c:pt idx="19">
                  <c:v>Lakshmi Devi</c:v>
                </c:pt>
                <c:pt idx="20">
                  <c:v>Rekha Jain</c:v>
                </c:pt>
                <c:pt idx="21">
                  <c:v>Vivek Gupta</c:v>
                </c:pt>
                <c:pt idx="22">
                  <c:v>Suresh Kumar</c:v>
                </c:pt>
              </c:strCache>
            </c:strRef>
          </c:cat>
          <c:val>
            <c:numRef>
              <c:f>Sheet1!$AW$6:$AW$29</c:f>
              <c:numCache>
                <c:formatCode>General</c:formatCode>
                <c:ptCount val="23"/>
                <c:pt idx="0">
                  <c:v>11400</c:v>
                </c:pt>
                <c:pt idx="1">
                  <c:v>10000</c:v>
                </c:pt>
                <c:pt idx="2">
                  <c:v>8000</c:v>
                </c:pt>
                <c:pt idx="3">
                  <c:v>7000</c:v>
                </c:pt>
                <c:pt idx="4">
                  <c:v>5000</c:v>
                </c:pt>
                <c:pt idx="5">
                  <c:v>4600</c:v>
                </c:pt>
                <c:pt idx="6">
                  <c:v>4000</c:v>
                </c:pt>
                <c:pt idx="7">
                  <c:v>3900</c:v>
                </c:pt>
                <c:pt idx="8">
                  <c:v>3000</c:v>
                </c:pt>
                <c:pt idx="9">
                  <c:v>3000</c:v>
                </c:pt>
                <c:pt idx="10">
                  <c:v>2500</c:v>
                </c:pt>
                <c:pt idx="11">
                  <c:v>2000</c:v>
                </c:pt>
                <c:pt idx="12">
                  <c:v>2000</c:v>
                </c:pt>
                <c:pt idx="13">
                  <c:v>1500</c:v>
                </c:pt>
                <c:pt idx="14">
                  <c:v>1500</c:v>
                </c:pt>
                <c:pt idx="15">
                  <c:v>1500</c:v>
                </c:pt>
                <c:pt idx="16">
                  <c:v>1000</c:v>
                </c:pt>
                <c:pt idx="17">
                  <c:v>1000</c:v>
                </c:pt>
                <c:pt idx="18">
                  <c:v>1000</c:v>
                </c:pt>
                <c:pt idx="19">
                  <c:v>800</c:v>
                </c:pt>
                <c:pt idx="20">
                  <c:v>750</c:v>
                </c:pt>
                <c:pt idx="21">
                  <c:v>500</c:v>
                </c:pt>
                <c:pt idx="22">
                  <c:v>200</c:v>
                </c:pt>
              </c:numCache>
            </c:numRef>
          </c:val>
          <c:extLst>
            <c:ext xmlns:c16="http://schemas.microsoft.com/office/drawing/2014/chart" uri="{C3380CC4-5D6E-409C-BE32-E72D297353CC}">
              <c16:uniqueId val="{00000000-39C8-46DF-BB1A-140FB54D95E0}"/>
            </c:ext>
          </c:extLst>
        </c:ser>
        <c:dLbls>
          <c:showLegendKey val="0"/>
          <c:showVal val="0"/>
          <c:showCatName val="0"/>
          <c:showSerName val="0"/>
          <c:showPercent val="0"/>
          <c:showBubbleSize val="0"/>
        </c:dLbls>
        <c:gapWidth val="182"/>
        <c:axId val="205564064"/>
        <c:axId val="205565984"/>
      </c:barChart>
      <c:catAx>
        <c:axId val="20556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65984"/>
        <c:crosses val="autoZero"/>
        <c:auto val="1"/>
        <c:lblAlgn val="ctr"/>
        <c:lblOffset val="100"/>
        <c:noMultiLvlLbl val="0"/>
      </c:catAx>
      <c:valAx>
        <c:axId val="205565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6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customer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Sheet1!$BG$6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D2-463E-AF97-A2FD87EA18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D2-463E-AF97-A2FD87EA18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D2-463E-AF97-A2FD87EA1807}"/>
              </c:ext>
            </c:extLst>
          </c:dPt>
          <c:cat>
            <c:strRef>
              <c:f>Sheet1!$BF$7:$BF$10</c:f>
              <c:strCache>
                <c:ptCount val="3"/>
                <c:pt idx="0">
                  <c:v>Consumer</c:v>
                </c:pt>
                <c:pt idx="1">
                  <c:v>Corporate</c:v>
                </c:pt>
                <c:pt idx="2">
                  <c:v>Home Office</c:v>
                </c:pt>
              </c:strCache>
            </c:strRef>
          </c:cat>
          <c:val>
            <c:numRef>
              <c:f>Sheet1!$BG$7:$BG$10</c:f>
              <c:numCache>
                <c:formatCode>General</c:formatCode>
                <c:ptCount val="3"/>
                <c:pt idx="0">
                  <c:v>232000</c:v>
                </c:pt>
                <c:pt idx="1">
                  <c:v>100000</c:v>
                </c:pt>
                <c:pt idx="2">
                  <c:v>45600</c:v>
                </c:pt>
              </c:numCache>
            </c:numRef>
          </c:val>
          <c:extLst>
            <c:ext xmlns:c16="http://schemas.microsoft.com/office/drawing/2014/chart" uri="{C3380CC4-5D6E-409C-BE32-E72D297353CC}">
              <c16:uniqueId val="{00000006-34D2-4F4A-934F-5A90F20B716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Repeat</a:t>
            </a:r>
            <a:r>
              <a:rPr lang="en-IN" baseline="0"/>
              <a:t> vs New</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Sheet1!$BR$5</c:f>
              <c:strCache>
                <c:ptCount val="1"/>
                <c:pt idx="0">
                  <c:v>repeat customer</c:v>
                </c:pt>
              </c:strCache>
            </c:strRef>
          </c:tx>
          <c:spPr>
            <a:solidFill>
              <a:schemeClr val="accent1"/>
            </a:solidFill>
            <a:ln>
              <a:noFill/>
            </a:ln>
            <a:effectLst/>
          </c:spPr>
          <c:invertIfNegative val="0"/>
          <c:cat>
            <c:strRef>
              <c:f>Sheet1!$BQ$6:$BQ$10</c:f>
              <c:strCache>
                <c:ptCount val="4"/>
                <c:pt idx="0">
                  <c:v>East</c:v>
                </c:pt>
                <c:pt idx="1">
                  <c:v>North</c:v>
                </c:pt>
                <c:pt idx="2">
                  <c:v>South</c:v>
                </c:pt>
                <c:pt idx="3">
                  <c:v>West</c:v>
                </c:pt>
              </c:strCache>
            </c:strRef>
          </c:cat>
          <c:val>
            <c:numRef>
              <c:f>Sheet1!$BR$6:$BR$10</c:f>
              <c:numCache>
                <c:formatCode>General</c:formatCode>
                <c:ptCount val="4"/>
                <c:pt idx="2">
                  <c:v>4</c:v>
                </c:pt>
              </c:numCache>
            </c:numRef>
          </c:val>
          <c:extLst>
            <c:ext xmlns:c16="http://schemas.microsoft.com/office/drawing/2014/chart" uri="{C3380CC4-5D6E-409C-BE32-E72D297353CC}">
              <c16:uniqueId val="{00000004-B50C-4497-A002-F0D57DF0C307}"/>
            </c:ext>
          </c:extLst>
        </c:ser>
        <c:ser>
          <c:idx val="1"/>
          <c:order val="1"/>
          <c:tx>
            <c:strRef>
              <c:f>Sheet1!$BS$5</c:f>
              <c:strCache>
                <c:ptCount val="1"/>
                <c:pt idx="0">
                  <c:v>New Customers</c:v>
                </c:pt>
              </c:strCache>
            </c:strRef>
          </c:tx>
          <c:spPr>
            <a:solidFill>
              <a:schemeClr val="accent2"/>
            </a:solidFill>
            <a:ln>
              <a:noFill/>
            </a:ln>
            <a:effectLst/>
          </c:spPr>
          <c:invertIfNegative val="0"/>
          <c:cat>
            <c:strRef>
              <c:f>Sheet1!$BQ$6:$BQ$10</c:f>
              <c:strCache>
                <c:ptCount val="4"/>
                <c:pt idx="0">
                  <c:v>East</c:v>
                </c:pt>
                <c:pt idx="1">
                  <c:v>North</c:v>
                </c:pt>
                <c:pt idx="2">
                  <c:v>South</c:v>
                </c:pt>
                <c:pt idx="3">
                  <c:v>West</c:v>
                </c:pt>
              </c:strCache>
            </c:strRef>
          </c:cat>
          <c:val>
            <c:numRef>
              <c:f>Sheet1!$BS$6:$BS$10</c:f>
              <c:numCache>
                <c:formatCode>General</c:formatCode>
                <c:ptCount val="4"/>
                <c:pt idx="0">
                  <c:v>1</c:v>
                </c:pt>
                <c:pt idx="1">
                  <c:v>4</c:v>
                </c:pt>
                <c:pt idx="2">
                  <c:v>9</c:v>
                </c:pt>
                <c:pt idx="3">
                  <c:v>5</c:v>
                </c:pt>
              </c:numCache>
            </c:numRef>
          </c:val>
          <c:extLst>
            <c:ext xmlns:c16="http://schemas.microsoft.com/office/drawing/2014/chart" uri="{C3380CC4-5D6E-409C-BE32-E72D297353CC}">
              <c16:uniqueId val="{00000005-B50C-4497-A002-F0D57DF0C307}"/>
            </c:ext>
          </c:extLst>
        </c:ser>
        <c:ser>
          <c:idx val="2"/>
          <c:order val="2"/>
          <c:tx>
            <c:strRef>
              <c:f>Sheet1!$BT$5</c:f>
              <c:strCache>
                <c:ptCount val="1"/>
                <c:pt idx="0">
                  <c:v>Retention Rate</c:v>
                </c:pt>
              </c:strCache>
            </c:strRef>
          </c:tx>
          <c:spPr>
            <a:solidFill>
              <a:schemeClr val="accent3"/>
            </a:solidFill>
            <a:ln>
              <a:noFill/>
            </a:ln>
            <a:effectLst/>
          </c:spPr>
          <c:invertIfNegative val="0"/>
          <c:cat>
            <c:strRef>
              <c:f>Sheet1!$BQ$6:$BQ$10</c:f>
              <c:strCache>
                <c:ptCount val="4"/>
                <c:pt idx="0">
                  <c:v>East</c:v>
                </c:pt>
                <c:pt idx="1">
                  <c:v>North</c:v>
                </c:pt>
                <c:pt idx="2">
                  <c:v>South</c:v>
                </c:pt>
                <c:pt idx="3">
                  <c:v>West</c:v>
                </c:pt>
              </c:strCache>
            </c:strRef>
          </c:cat>
          <c:val>
            <c:numRef>
              <c:f>Sheet1!$BT$6:$BT$10</c:f>
              <c:numCache>
                <c:formatCode>General</c:formatCode>
                <c:ptCount val="4"/>
                <c:pt idx="2">
                  <c:v>0.30769230769230771</c:v>
                </c:pt>
              </c:numCache>
            </c:numRef>
          </c:val>
          <c:extLst>
            <c:ext xmlns:c16="http://schemas.microsoft.com/office/drawing/2014/chart" uri="{C3380CC4-5D6E-409C-BE32-E72D297353CC}">
              <c16:uniqueId val="{00000006-B50C-4497-A002-F0D57DF0C307}"/>
            </c:ext>
          </c:extLst>
        </c:ser>
        <c:dLbls>
          <c:showLegendKey val="0"/>
          <c:showVal val="0"/>
          <c:showCatName val="0"/>
          <c:showSerName val="0"/>
          <c:showPercent val="0"/>
          <c:showBubbleSize val="0"/>
        </c:dLbls>
        <c:gapWidth val="219"/>
        <c:overlap val="-27"/>
        <c:axId val="199622703"/>
        <c:axId val="199623183"/>
      </c:barChart>
      <c:catAx>
        <c:axId val="19962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23183"/>
        <c:crosses val="autoZero"/>
        <c:auto val="1"/>
        <c:lblAlgn val="ctr"/>
        <c:lblOffset val="100"/>
        <c:noMultiLvlLbl val="0"/>
      </c:catAx>
      <c:valAx>
        <c:axId val="19962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2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Reorder</a:t>
            </a:r>
            <a:r>
              <a:rPr lang="en-IN" baseline="0"/>
              <a:t> items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Sheet1!$BX$7</c:f>
              <c:strCache>
                <c:ptCount val="1"/>
                <c:pt idx="0">
                  <c:v>Total</c:v>
                </c:pt>
              </c:strCache>
            </c:strRef>
          </c:tx>
          <c:spPr>
            <a:solidFill>
              <a:schemeClr val="accent1"/>
            </a:solidFill>
            <a:ln>
              <a:noFill/>
            </a:ln>
            <a:effectLst/>
          </c:spPr>
          <c:invertIfNegative val="0"/>
          <c:cat>
            <c:strRef>
              <c:f>Sheet1!$BW$8:$BW$38</c:f>
              <c:strCache>
                <c:ptCount val="30"/>
                <c:pt idx="0">
                  <c:v>Bookshelf</c:v>
                </c:pt>
                <c:pt idx="1">
                  <c:v>Cabinet</c:v>
                </c:pt>
                <c:pt idx="2">
                  <c:v>Calculator</c:v>
                </c:pt>
                <c:pt idx="3">
                  <c:v>Chair</c:v>
                </c:pt>
                <c:pt idx="4">
                  <c:v>Desk</c:v>
                </c:pt>
                <c:pt idx="5">
                  <c:v>Eraser Pack</c:v>
                </c:pt>
                <c:pt idx="6">
                  <c:v>File Folder</c:v>
                </c:pt>
                <c:pt idx="7">
                  <c:v>Hard Disk</c:v>
                </c:pt>
                <c:pt idx="8">
                  <c:v>Headphones</c:v>
                </c:pt>
                <c:pt idx="9">
                  <c:v>Keyboard</c:v>
                </c:pt>
                <c:pt idx="10">
                  <c:v>Lamp</c:v>
                </c:pt>
                <c:pt idx="11">
                  <c:v>Laptop</c:v>
                </c:pt>
                <c:pt idx="12">
                  <c:v>Marker Pack</c:v>
                </c:pt>
                <c:pt idx="13">
                  <c:v>Monitor</c:v>
                </c:pt>
                <c:pt idx="14">
                  <c:v>Mouse</c:v>
                </c:pt>
                <c:pt idx="15">
                  <c:v>Notebook</c:v>
                </c:pt>
                <c:pt idx="16">
                  <c:v>Office Chair</c:v>
                </c:pt>
                <c:pt idx="17">
                  <c:v>Pen Pack</c:v>
                </c:pt>
                <c:pt idx="18">
                  <c:v>Printer</c:v>
                </c:pt>
                <c:pt idx="19">
                  <c:v>Projector</c:v>
                </c:pt>
                <c:pt idx="20">
                  <c:v>Router</c:v>
                </c:pt>
                <c:pt idx="21">
                  <c:v>Scanner</c:v>
                </c:pt>
                <c:pt idx="22">
                  <c:v>Smart TV</c:v>
                </c:pt>
                <c:pt idx="23">
                  <c:v>Sofa</c:v>
                </c:pt>
                <c:pt idx="24">
                  <c:v>Speaker</c:v>
                </c:pt>
                <c:pt idx="25">
                  <c:v>Standing Desk</c:v>
                </c:pt>
                <c:pt idx="26">
                  <c:v>Stapler</c:v>
                </c:pt>
                <c:pt idx="27">
                  <c:v>Tablet</c:v>
                </c:pt>
                <c:pt idx="28">
                  <c:v>Webcam</c:v>
                </c:pt>
                <c:pt idx="29">
                  <c:v>Whiteboard</c:v>
                </c:pt>
              </c:strCache>
            </c:strRef>
          </c:cat>
          <c:val>
            <c:numRef>
              <c:f>Sheet1!$BX$8:$BX$38</c:f>
              <c:numCache>
                <c:formatCode>General</c:formatCode>
                <c:ptCount val="30"/>
                <c:pt idx="0">
                  <c:v>34</c:v>
                </c:pt>
                <c:pt idx="1">
                  <c:v>34</c:v>
                </c:pt>
                <c:pt idx="2">
                  <c:v>34</c:v>
                </c:pt>
                <c:pt idx="3">
                  <c:v>34</c:v>
                </c:pt>
                <c:pt idx="4">
                  <c:v>34</c:v>
                </c:pt>
                <c:pt idx="5">
                  <c:v>34</c:v>
                </c:pt>
                <c:pt idx="6">
                  <c:v>34</c:v>
                </c:pt>
                <c:pt idx="7">
                  <c:v>34</c:v>
                </c:pt>
                <c:pt idx="8">
                  <c:v>34</c:v>
                </c:pt>
                <c:pt idx="9">
                  <c:v>34</c:v>
                </c:pt>
                <c:pt idx="10">
                  <c:v>34</c:v>
                </c:pt>
                <c:pt idx="11">
                  <c:v>34</c:v>
                </c:pt>
                <c:pt idx="12">
                  <c:v>34</c:v>
                </c:pt>
                <c:pt idx="13">
                  <c:v>34</c:v>
                </c:pt>
                <c:pt idx="14">
                  <c:v>34</c:v>
                </c:pt>
                <c:pt idx="15">
                  <c:v>34</c:v>
                </c:pt>
                <c:pt idx="16">
                  <c:v>34</c:v>
                </c:pt>
                <c:pt idx="17">
                  <c:v>34</c:v>
                </c:pt>
                <c:pt idx="18">
                  <c:v>34</c:v>
                </c:pt>
                <c:pt idx="19">
                  <c:v>34</c:v>
                </c:pt>
                <c:pt idx="20">
                  <c:v>34</c:v>
                </c:pt>
                <c:pt idx="21">
                  <c:v>34</c:v>
                </c:pt>
                <c:pt idx="22">
                  <c:v>34</c:v>
                </c:pt>
                <c:pt idx="23">
                  <c:v>34</c:v>
                </c:pt>
                <c:pt idx="24">
                  <c:v>34</c:v>
                </c:pt>
                <c:pt idx="25">
                  <c:v>34</c:v>
                </c:pt>
                <c:pt idx="26">
                  <c:v>34</c:v>
                </c:pt>
                <c:pt idx="27">
                  <c:v>34</c:v>
                </c:pt>
                <c:pt idx="28">
                  <c:v>34</c:v>
                </c:pt>
                <c:pt idx="29">
                  <c:v>34</c:v>
                </c:pt>
              </c:numCache>
            </c:numRef>
          </c:val>
          <c:extLst>
            <c:ext xmlns:c16="http://schemas.microsoft.com/office/drawing/2014/chart" uri="{C3380CC4-5D6E-409C-BE32-E72D297353CC}">
              <c16:uniqueId val="{00000000-C486-4DD1-9A67-D9F4C7316BED}"/>
            </c:ext>
          </c:extLst>
        </c:ser>
        <c:dLbls>
          <c:showLegendKey val="0"/>
          <c:showVal val="0"/>
          <c:showCatName val="0"/>
          <c:showSerName val="0"/>
          <c:showPercent val="0"/>
          <c:showBubbleSize val="0"/>
        </c:dLbls>
        <c:gapWidth val="182"/>
        <c:axId val="267008047"/>
        <c:axId val="267013327"/>
      </c:barChart>
      <c:catAx>
        <c:axId val="267008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13327"/>
        <c:crosses val="autoZero"/>
        <c:auto val="1"/>
        <c:lblAlgn val="ctr"/>
        <c:lblOffset val="100"/>
        <c:noMultiLvlLbl val="0"/>
      </c:catAx>
      <c:valAx>
        <c:axId val="267013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0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Available</a:t>
            </a:r>
            <a:r>
              <a:rPr lang="en-IN" baseline="0"/>
              <a:t> stock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Sheet1!$CH$4</c:f>
              <c:strCache>
                <c:ptCount val="1"/>
                <c:pt idx="0">
                  <c:v>Total</c:v>
                </c:pt>
              </c:strCache>
            </c:strRef>
          </c:tx>
          <c:spPr>
            <a:solidFill>
              <a:schemeClr val="accent1"/>
            </a:solidFill>
            <a:ln>
              <a:noFill/>
            </a:ln>
            <a:effectLst/>
            <a:sp3d/>
          </c:spPr>
          <c:invertIfNegative val="0"/>
          <c:cat>
            <c:strRef>
              <c:f>Sheet1!$CG$5:$CG$8</c:f>
              <c:strCache>
                <c:ptCount val="3"/>
                <c:pt idx="0">
                  <c:v>Electronics</c:v>
                </c:pt>
                <c:pt idx="1">
                  <c:v>Furniture</c:v>
                </c:pt>
                <c:pt idx="2">
                  <c:v>Office Supplies</c:v>
                </c:pt>
              </c:strCache>
            </c:strRef>
          </c:cat>
          <c:val>
            <c:numRef>
              <c:f>Sheet1!$CH$5:$CH$8</c:f>
              <c:numCache>
                <c:formatCode>General</c:formatCode>
                <c:ptCount val="3"/>
                <c:pt idx="0">
                  <c:v>2349</c:v>
                </c:pt>
                <c:pt idx="1">
                  <c:v>2349</c:v>
                </c:pt>
                <c:pt idx="2">
                  <c:v>2349</c:v>
                </c:pt>
              </c:numCache>
            </c:numRef>
          </c:val>
          <c:extLst>
            <c:ext xmlns:c16="http://schemas.microsoft.com/office/drawing/2014/chart" uri="{C3380CC4-5D6E-409C-BE32-E72D297353CC}">
              <c16:uniqueId val="{00000000-B275-4B3D-A71C-D929361186B3}"/>
            </c:ext>
          </c:extLst>
        </c:ser>
        <c:dLbls>
          <c:showLegendKey val="0"/>
          <c:showVal val="0"/>
          <c:showCatName val="0"/>
          <c:showSerName val="0"/>
          <c:showPercent val="0"/>
          <c:showBubbleSize val="0"/>
        </c:dLbls>
        <c:gapWidth val="150"/>
        <c:shape val="box"/>
        <c:axId val="285519791"/>
        <c:axId val="285517871"/>
        <c:axId val="0"/>
      </c:bar3DChart>
      <c:catAx>
        <c:axId val="28551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517871"/>
        <c:crosses val="autoZero"/>
        <c:auto val="1"/>
        <c:lblAlgn val="ctr"/>
        <c:lblOffset val="100"/>
        <c:noMultiLvlLbl val="0"/>
      </c:catAx>
      <c:valAx>
        <c:axId val="28551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51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Dead</a:t>
            </a:r>
            <a:r>
              <a:rPr lang="en-IN" baseline="0"/>
              <a:t> Stock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Sheet1!$CO$5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0A-4F25-A865-14C3F1F78050}"/>
              </c:ext>
            </c:extLst>
          </c:dPt>
          <c:cat>
            <c:strRef>
              <c:f>Sheet1!$CN$6:$CN$7</c:f>
              <c:strCache>
                <c:ptCount val="1"/>
                <c:pt idx="0">
                  <c:v>present</c:v>
                </c:pt>
              </c:strCache>
            </c:strRef>
          </c:cat>
          <c:val>
            <c:numRef>
              <c:f>Sheet1!$CO$6:$CO$7</c:f>
              <c:numCache>
                <c:formatCode>General</c:formatCode>
                <c:ptCount val="1"/>
                <c:pt idx="0">
                  <c:v>30</c:v>
                </c:pt>
              </c:numCache>
            </c:numRef>
          </c:val>
          <c:extLst>
            <c:ext xmlns:c16="http://schemas.microsoft.com/office/drawing/2014/chart" uri="{C3380CC4-5D6E-409C-BE32-E72D297353CC}">
              <c16:uniqueId val="{00000000-9AAA-42F9-9C8A-93F3041D064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Actual</a:t>
            </a:r>
            <a:r>
              <a:rPr lang="en-IN" baseline="0"/>
              <a:t> Vs Target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Sheet1!$CT$7</c:f>
              <c:strCache>
                <c:ptCount val="1"/>
                <c:pt idx="0">
                  <c:v>Sum of Sales</c:v>
                </c:pt>
              </c:strCache>
            </c:strRef>
          </c:tx>
          <c:spPr>
            <a:ln w="28575" cap="rnd">
              <a:solidFill>
                <a:schemeClr val="accent1"/>
              </a:solidFill>
              <a:round/>
            </a:ln>
            <a:effectLst/>
          </c:spPr>
          <c:marker>
            <c:symbol val="none"/>
          </c:marker>
          <c:cat>
            <c:strRef>
              <c:f>Sheet1!$CS$8:$CS$14</c:f>
              <c:strCache>
                <c:ptCount val="6"/>
                <c:pt idx="0">
                  <c:v>Jan</c:v>
                </c:pt>
                <c:pt idx="1">
                  <c:v>Feb</c:v>
                </c:pt>
                <c:pt idx="2">
                  <c:v>Mar</c:v>
                </c:pt>
                <c:pt idx="3">
                  <c:v>Apr</c:v>
                </c:pt>
                <c:pt idx="4">
                  <c:v>May</c:v>
                </c:pt>
                <c:pt idx="5">
                  <c:v>Jun</c:v>
                </c:pt>
              </c:strCache>
            </c:strRef>
          </c:cat>
          <c:val>
            <c:numRef>
              <c:f>Sheet1!$CT$8:$CT$14</c:f>
              <c:numCache>
                <c:formatCode>General</c:formatCode>
                <c:ptCount val="6"/>
                <c:pt idx="0">
                  <c:v>247700</c:v>
                </c:pt>
                <c:pt idx="1">
                  <c:v>21000</c:v>
                </c:pt>
                <c:pt idx="2">
                  <c:v>14500</c:v>
                </c:pt>
                <c:pt idx="3">
                  <c:v>14400</c:v>
                </c:pt>
                <c:pt idx="4">
                  <c:v>65000</c:v>
                </c:pt>
                <c:pt idx="5">
                  <c:v>15000</c:v>
                </c:pt>
              </c:numCache>
            </c:numRef>
          </c:val>
          <c:smooth val="0"/>
          <c:extLst>
            <c:ext xmlns:c16="http://schemas.microsoft.com/office/drawing/2014/chart" uri="{C3380CC4-5D6E-409C-BE32-E72D297353CC}">
              <c16:uniqueId val="{00000000-501D-4E04-8FF5-A322D3671C39}"/>
            </c:ext>
          </c:extLst>
        </c:ser>
        <c:ser>
          <c:idx val="1"/>
          <c:order val="1"/>
          <c:tx>
            <c:strRef>
              <c:f>Sheet1!$CU$7</c:f>
              <c:strCache>
                <c:ptCount val="1"/>
                <c:pt idx="0">
                  <c:v>Sum of Target Sales</c:v>
                </c:pt>
              </c:strCache>
            </c:strRef>
          </c:tx>
          <c:spPr>
            <a:ln w="28575" cap="rnd">
              <a:solidFill>
                <a:schemeClr val="accent2"/>
              </a:solidFill>
              <a:round/>
            </a:ln>
            <a:effectLst/>
          </c:spPr>
          <c:marker>
            <c:symbol val="none"/>
          </c:marker>
          <c:cat>
            <c:strRef>
              <c:f>Sheet1!$CS$8:$CS$14</c:f>
              <c:strCache>
                <c:ptCount val="6"/>
                <c:pt idx="0">
                  <c:v>Jan</c:v>
                </c:pt>
                <c:pt idx="1">
                  <c:v>Feb</c:v>
                </c:pt>
                <c:pt idx="2">
                  <c:v>Mar</c:v>
                </c:pt>
                <c:pt idx="3">
                  <c:v>Apr</c:v>
                </c:pt>
                <c:pt idx="4">
                  <c:v>May</c:v>
                </c:pt>
                <c:pt idx="5">
                  <c:v>Jun</c:v>
                </c:pt>
              </c:strCache>
            </c:strRef>
          </c:cat>
          <c:val>
            <c:numRef>
              <c:f>Sheet1!$CU$8:$CU$14</c:f>
              <c:numCache>
                <c:formatCode>General</c:formatCode>
                <c:ptCount val="6"/>
                <c:pt idx="0">
                  <c:v>4740000</c:v>
                </c:pt>
                <c:pt idx="1">
                  <c:v>4740000</c:v>
                </c:pt>
                <c:pt idx="2">
                  <c:v>4740000</c:v>
                </c:pt>
                <c:pt idx="3">
                  <c:v>4740000</c:v>
                </c:pt>
                <c:pt idx="4">
                  <c:v>4740000</c:v>
                </c:pt>
                <c:pt idx="5">
                  <c:v>4740000</c:v>
                </c:pt>
              </c:numCache>
            </c:numRef>
          </c:val>
          <c:smooth val="0"/>
          <c:extLst>
            <c:ext xmlns:c16="http://schemas.microsoft.com/office/drawing/2014/chart" uri="{C3380CC4-5D6E-409C-BE32-E72D297353CC}">
              <c16:uniqueId val="{00000001-501D-4E04-8FF5-A322D3671C39}"/>
            </c:ext>
          </c:extLst>
        </c:ser>
        <c:dLbls>
          <c:showLegendKey val="0"/>
          <c:showVal val="0"/>
          <c:showCatName val="0"/>
          <c:showSerName val="0"/>
          <c:showPercent val="0"/>
          <c:showBubbleSize val="0"/>
        </c:dLbls>
        <c:smooth val="0"/>
        <c:axId val="267017167"/>
        <c:axId val="267020527"/>
      </c:lineChart>
      <c:catAx>
        <c:axId val="26701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20527"/>
        <c:crosses val="autoZero"/>
        <c:auto val="1"/>
        <c:lblAlgn val="ctr"/>
        <c:lblOffset val="100"/>
        <c:noMultiLvlLbl val="0"/>
      </c:catAx>
      <c:valAx>
        <c:axId val="26702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1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Future</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Sheet3!$B$1</c:f>
              <c:strCache>
                <c:ptCount val="1"/>
                <c:pt idx="0">
                  <c:v>Sum of Sales</c:v>
                </c:pt>
              </c:strCache>
            </c:strRef>
          </c:tx>
          <c:spPr>
            <a:ln w="28575" cap="rnd">
              <a:solidFill>
                <a:schemeClr val="accent1"/>
              </a:solidFill>
              <a:round/>
            </a:ln>
            <a:effectLst/>
          </c:spPr>
          <c:marker>
            <c:symbol val="none"/>
          </c:marker>
          <c:val>
            <c:numRef>
              <c:f>Sheet3!$B$2:$B$16</c:f>
              <c:numCache>
                <c:formatCode>General</c:formatCode>
                <c:ptCount val="15"/>
                <c:pt idx="0">
                  <c:v>377600</c:v>
                </c:pt>
                <c:pt idx="1">
                  <c:v>377600</c:v>
                </c:pt>
                <c:pt idx="2">
                  <c:v>377600</c:v>
                </c:pt>
                <c:pt idx="3">
                  <c:v>377600</c:v>
                </c:pt>
                <c:pt idx="4">
                  <c:v>377600</c:v>
                </c:pt>
                <c:pt idx="5">
                  <c:v>377600</c:v>
                </c:pt>
                <c:pt idx="6">
                  <c:v>377600</c:v>
                </c:pt>
                <c:pt idx="7">
                  <c:v>377600</c:v>
                </c:pt>
                <c:pt idx="8">
                  <c:v>377600</c:v>
                </c:pt>
                <c:pt idx="9">
                  <c:v>377600</c:v>
                </c:pt>
                <c:pt idx="10">
                  <c:v>377600</c:v>
                </c:pt>
                <c:pt idx="11">
                  <c:v>377600</c:v>
                </c:pt>
              </c:numCache>
            </c:numRef>
          </c:val>
          <c:smooth val="0"/>
          <c:extLst>
            <c:ext xmlns:c16="http://schemas.microsoft.com/office/drawing/2014/chart" uri="{C3380CC4-5D6E-409C-BE32-E72D297353CC}">
              <c16:uniqueId val="{00000000-7A51-40C0-A0DC-22FC7ADF010B}"/>
            </c:ext>
          </c:extLst>
        </c:ser>
        <c:ser>
          <c:idx val="1"/>
          <c:order val="1"/>
          <c:tx>
            <c:strRef>
              <c:f>Sheet3!$C$1</c:f>
              <c:strCache>
                <c:ptCount val="1"/>
                <c:pt idx="0">
                  <c:v>Forecast(Sum of Sales)</c:v>
                </c:pt>
              </c:strCache>
            </c:strRef>
          </c:tx>
          <c:spPr>
            <a:ln w="25400" cap="rnd">
              <a:solidFill>
                <a:schemeClr val="accent2"/>
              </a:solidFill>
              <a:round/>
            </a:ln>
            <a:effectLst/>
          </c:spPr>
          <c:marker>
            <c:symbol val="none"/>
          </c:marker>
          <c:cat>
            <c:numRef>
              <c:f>Sheet3!$A$2:$A$16</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f>Sheet3!$C$2:$C$16</c:f>
              <c:numCache>
                <c:formatCode>General</c:formatCode>
                <c:ptCount val="15"/>
                <c:pt idx="11">
                  <c:v>377600</c:v>
                </c:pt>
                <c:pt idx="12">
                  <c:v>377600</c:v>
                </c:pt>
                <c:pt idx="13">
                  <c:v>377600</c:v>
                </c:pt>
                <c:pt idx="14">
                  <c:v>377600</c:v>
                </c:pt>
              </c:numCache>
            </c:numRef>
          </c:val>
          <c:smooth val="0"/>
          <c:extLst>
            <c:ext xmlns:c16="http://schemas.microsoft.com/office/drawing/2014/chart" uri="{C3380CC4-5D6E-409C-BE32-E72D297353CC}">
              <c16:uniqueId val="{00000001-7A51-40C0-A0DC-22FC7ADF010B}"/>
            </c:ext>
          </c:extLst>
        </c:ser>
        <c:ser>
          <c:idx val="2"/>
          <c:order val="2"/>
          <c:tx>
            <c:strRef>
              <c:f>Sheet3!$D$1</c:f>
              <c:strCache>
                <c:ptCount val="1"/>
                <c:pt idx="0">
                  <c:v>Lower Confidence Bound(Sum of Sales)</c:v>
                </c:pt>
              </c:strCache>
            </c:strRef>
          </c:tx>
          <c:spPr>
            <a:ln w="12700" cap="rnd">
              <a:solidFill>
                <a:srgbClr val="ED7D31"/>
              </a:solidFill>
              <a:prstDash val="solid"/>
              <a:round/>
            </a:ln>
            <a:effectLst/>
          </c:spPr>
          <c:marker>
            <c:symbol val="none"/>
          </c:marker>
          <c:cat>
            <c:numRef>
              <c:f>Sheet3!$A$2:$A$16</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f>Sheet3!$D$2:$D$16</c:f>
              <c:numCache>
                <c:formatCode>General</c:formatCode>
                <c:ptCount val="15"/>
                <c:pt idx="11" formatCode="0.00">
                  <c:v>377600</c:v>
                </c:pt>
                <c:pt idx="12" formatCode="0.00">
                  <c:v>377600</c:v>
                </c:pt>
                <c:pt idx="13" formatCode="0.00">
                  <c:v>377600</c:v>
                </c:pt>
                <c:pt idx="14" formatCode="0.00">
                  <c:v>377600</c:v>
                </c:pt>
              </c:numCache>
            </c:numRef>
          </c:val>
          <c:smooth val="0"/>
          <c:extLst>
            <c:ext xmlns:c16="http://schemas.microsoft.com/office/drawing/2014/chart" uri="{C3380CC4-5D6E-409C-BE32-E72D297353CC}">
              <c16:uniqueId val="{00000002-7A51-40C0-A0DC-22FC7ADF010B}"/>
            </c:ext>
          </c:extLst>
        </c:ser>
        <c:ser>
          <c:idx val="3"/>
          <c:order val="3"/>
          <c:tx>
            <c:strRef>
              <c:f>Sheet3!$E$1</c:f>
              <c:strCache>
                <c:ptCount val="1"/>
                <c:pt idx="0">
                  <c:v>Upper Confidence Bound(Sum of Sales)</c:v>
                </c:pt>
              </c:strCache>
            </c:strRef>
          </c:tx>
          <c:spPr>
            <a:ln w="12700" cap="rnd">
              <a:solidFill>
                <a:srgbClr val="ED7D31"/>
              </a:solidFill>
              <a:prstDash val="solid"/>
              <a:round/>
            </a:ln>
            <a:effectLst/>
          </c:spPr>
          <c:marker>
            <c:symbol val="none"/>
          </c:marker>
          <c:cat>
            <c:numRef>
              <c:f>Sheet3!$A$2:$A$16</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f>Sheet3!$E$2:$E$16</c:f>
              <c:numCache>
                <c:formatCode>General</c:formatCode>
                <c:ptCount val="15"/>
                <c:pt idx="11" formatCode="0.00">
                  <c:v>377600</c:v>
                </c:pt>
                <c:pt idx="12" formatCode="0.00">
                  <c:v>377600</c:v>
                </c:pt>
                <c:pt idx="13" formatCode="0.00">
                  <c:v>377600</c:v>
                </c:pt>
                <c:pt idx="14" formatCode="0.00">
                  <c:v>377600</c:v>
                </c:pt>
              </c:numCache>
            </c:numRef>
          </c:val>
          <c:smooth val="0"/>
          <c:extLst>
            <c:ext xmlns:c16="http://schemas.microsoft.com/office/drawing/2014/chart" uri="{C3380CC4-5D6E-409C-BE32-E72D297353CC}">
              <c16:uniqueId val="{00000003-7A51-40C0-A0DC-22FC7ADF010B}"/>
            </c:ext>
          </c:extLst>
        </c:ser>
        <c:dLbls>
          <c:showLegendKey val="0"/>
          <c:showVal val="0"/>
          <c:showCatName val="0"/>
          <c:showSerName val="0"/>
          <c:showPercent val="0"/>
          <c:showBubbleSize val="0"/>
        </c:dLbls>
        <c:smooth val="0"/>
        <c:axId val="276689151"/>
        <c:axId val="240784079"/>
      </c:lineChart>
      <c:catAx>
        <c:axId val="27668915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784079"/>
        <c:crosses val="autoZero"/>
        <c:auto val="1"/>
        <c:lblAlgn val="ctr"/>
        <c:lblOffset val="100"/>
        <c:noMultiLvlLbl val="0"/>
      </c:catAx>
      <c:valAx>
        <c:axId val="24078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689151"/>
        <c:crosses val="autoZero"/>
        <c:crossBetween val="between"/>
      </c:valAx>
      <c:spPr>
        <a:noFill/>
        <a:ln>
          <a:noFill/>
        </a:ln>
        <a:effectLst/>
      </c:spPr>
    </c:plotArea>
    <c:legend>
      <c:legendPos val="b"/>
      <c:layout>
        <c:manualLayout>
          <c:xMode val="edge"/>
          <c:yMode val="edge"/>
          <c:x val="0.16893619932579518"/>
          <c:y val="0.61538192988337448"/>
          <c:w val="0.78061070269059973"/>
          <c:h val="0.149575236210056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Demand</a:t>
            </a:r>
            <a:r>
              <a:rPr lang="en-IN" baseline="0"/>
              <a:t> Forecast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Sheet1!$DC$7:$DC$9</c:f>
              <c:strCache>
                <c:ptCount val="1"/>
                <c:pt idx="0">
                  <c:v>Jan</c:v>
                </c:pt>
              </c:strCache>
            </c:strRef>
          </c:tx>
          <c:spPr>
            <a:ln w="28575" cap="rnd">
              <a:solidFill>
                <a:schemeClr val="accent1"/>
              </a:solidFill>
              <a:round/>
            </a:ln>
            <a:effectLst/>
          </c:spPr>
          <c:marker>
            <c:symbol val="none"/>
          </c:marker>
          <c:cat>
            <c:strRef>
              <c:f>Sheet1!$DB$10:$DB$40</c:f>
              <c:strCache>
                <c:ptCount val="30"/>
                <c:pt idx="0">
                  <c:v>Bookshelf</c:v>
                </c:pt>
                <c:pt idx="1">
                  <c:v>Cabinet</c:v>
                </c:pt>
                <c:pt idx="2">
                  <c:v>Calculator</c:v>
                </c:pt>
                <c:pt idx="3">
                  <c:v>Chair</c:v>
                </c:pt>
                <c:pt idx="4">
                  <c:v>Desk</c:v>
                </c:pt>
                <c:pt idx="5">
                  <c:v>Eraser Pack</c:v>
                </c:pt>
                <c:pt idx="6">
                  <c:v>File Folder</c:v>
                </c:pt>
                <c:pt idx="7">
                  <c:v>Hard Disk</c:v>
                </c:pt>
                <c:pt idx="8">
                  <c:v>Headphones</c:v>
                </c:pt>
                <c:pt idx="9">
                  <c:v>Keyboard</c:v>
                </c:pt>
                <c:pt idx="10">
                  <c:v>Lamp</c:v>
                </c:pt>
                <c:pt idx="11">
                  <c:v>Laptop</c:v>
                </c:pt>
                <c:pt idx="12">
                  <c:v>Marker Pack</c:v>
                </c:pt>
                <c:pt idx="13">
                  <c:v>Monitor</c:v>
                </c:pt>
                <c:pt idx="14">
                  <c:v>Mouse</c:v>
                </c:pt>
                <c:pt idx="15">
                  <c:v>Notebook</c:v>
                </c:pt>
                <c:pt idx="16">
                  <c:v>Office Chair</c:v>
                </c:pt>
                <c:pt idx="17">
                  <c:v>Pen Pack</c:v>
                </c:pt>
                <c:pt idx="18">
                  <c:v>Printer</c:v>
                </c:pt>
                <c:pt idx="19">
                  <c:v>Projector</c:v>
                </c:pt>
                <c:pt idx="20">
                  <c:v>Router</c:v>
                </c:pt>
                <c:pt idx="21">
                  <c:v>Scanner</c:v>
                </c:pt>
                <c:pt idx="22">
                  <c:v>Smart TV</c:v>
                </c:pt>
                <c:pt idx="23">
                  <c:v>Sofa</c:v>
                </c:pt>
                <c:pt idx="24">
                  <c:v>Speaker</c:v>
                </c:pt>
                <c:pt idx="25">
                  <c:v>Standing Desk</c:v>
                </c:pt>
                <c:pt idx="26">
                  <c:v>Stapler</c:v>
                </c:pt>
                <c:pt idx="27">
                  <c:v>Tablet</c:v>
                </c:pt>
                <c:pt idx="28">
                  <c:v>Webcam</c:v>
                </c:pt>
                <c:pt idx="29">
                  <c:v>Whiteboard</c:v>
                </c:pt>
              </c:strCache>
            </c:strRef>
          </c:cat>
          <c:val>
            <c:numRef>
              <c:f>Sheet1!$DC$10:$DC$40</c:f>
              <c:numCache>
                <c:formatCode>General</c:formatCode>
                <c:ptCount val="30"/>
                <c:pt idx="5">
                  <c:v>2000</c:v>
                </c:pt>
                <c:pt idx="6">
                  <c:v>1800</c:v>
                </c:pt>
                <c:pt idx="7">
                  <c:v>12000</c:v>
                </c:pt>
                <c:pt idx="9">
                  <c:v>7500</c:v>
                </c:pt>
                <c:pt idx="11">
                  <c:v>50000</c:v>
                </c:pt>
                <c:pt idx="12">
                  <c:v>4500</c:v>
                </c:pt>
                <c:pt idx="13">
                  <c:v>28000</c:v>
                </c:pt>
                <c:pt idx="14">
                  <c:v>2400</c:v>
                </c:pt>
                <c:pt idx="16">
                  <c:v>8000</c:v>
                </c:pt>
                <c:pt idx="18">
                  <c:v>18000</c:v>
                </c:pt>
                <c:pt idx="19">
                  <c:v>38000</c:v>
                </c:pt>
                <c:pt idx="20">
                  <c:v>6000</c:v>
                </c:pt>
                <c:pt idx="22">
                  <c:v>45000</c:v>
                </c:pt>
                <c:pt idx="24">
                  <c:v>7000</c:v>
                </c:pt>
                <c:pt idx="25">
                  <c:v>15000</c:v>
                </c:pt>
                <c:pt idx="26">
                  <c:v>2500</c:v>
                </c:pt>
              </c:numCache>
            </c:numRef>
          </c:val>
          <c:smooth val="0"/>
          <c:extLst>
            <c:ext xmlns:c16="http://schemas.microsoft.com/office/drawing/2014/chart" uri="{C3380CC4-5D6E-409C-BE32-E72D297353CC}">
              <c16:uniqueId val="{00000000-6CB2-480A-807F-DFB2895B529A}"/>
            </c:ext>
          </c:extLst>
        </c:ser>
        <c:ser>
          <c:idx val="1"/>
          <c:order val="1"/>
          <c:tx>
            <c:strRef>
              <c:f>Sheet1!$DD$7:$DD$9</c:f>
              <c:strCache>
                <c:ptCount val="1"/>
                <c:pt idx="0">
                  <c:v>Feb</c:v>
                </c:pt>
              </c:strCache>
            </c:strRef>
          </c:tx>
          <c:spPr>
            <a:ln w="28575" cap="rnd">
              <a:solidFill>
                <a:schemeClr val="accent2"/>
              </a:solidFill>
              <a:round/>
            </a:ln>
            <a:effectLst/>
          </c:spPr>
          <c:marker>
            <c:symbol val="none"/>
          </c:marker>
          <c:cat>
            <c:strRef>
              <c:f>Sheet1!$DB$10:$DB$40</c:f>
              <c:strCache>
                <c:ptCount val="30"/>
                <c:pt idx="0">
                  <c:v>Bookshelf</c:v>
                </c:pt>
                <c:pt idx="1">
                  <c:v>Cabinet</c:v>
                </c:pt>
                <c:pt idx="2">
                  <c:v>Calculator</c:v>
                </c:pt>
                <c:pt idx="3">
                  <c:v>Chair</c:v>
                </c:pt>
                <c:pt idx="4">
                  <c:v>Desk</c:v>
                </c:pt>
                <c:pt idx="5">
                  <c:v>Eraser Pack</c:v>
                </c:pt>
                <c:pt idx="6">
                  <c:v>File Folder</c:v>
                </c:pt>
                <c:pt idx="7">
                  <c:v>Hard Disk</c:v>
                </c:pt>
                <c:pt idx="8">
                  <c:v>Headphones</c:v>
                </c:pt>
                <c:pt idx="9">
                  <c:v>Keyboard</c:v>
                </c:pt>
                <c:pt idx="10">
                  <c:v>Lamp</c:v>
                </c:pt>
                <c:pt idx="11">
                  <c:v>Laptop</c:v>
                </c:pt>
                <c:pt idx="12">
                  <c:v>Marker Pack</c:v>
                </c:pt>
                <c:pt idx="13">
                  <c:v>Monitor</c:v>
                </c:pt>
                <c:pt idx="14">
                  <c:v>Mouse</c:v>
                </c:pt>
                <c:pt idx="15">
                  <c:v>Notebook</c:v>
                </c:pt>
                <c:pt idx="16">
                  <c:v>Office Chair</c:v>
                </c:pt>
                <c:pt idx="17">
                  <c:v>Pen Pack</c:v>
                </c:pt>
                <c:pt idx="18">
                  <c:v>Printer</c:v>
                </c:pt>
                <c:pt idx="19">
                  <c:v>Projector</c:v>
                </c:pt>
                <c:pt idx="20">
                  <c:v>Router</c:v>
                </c:pt>
                <c:pt idx="21">
                  <c:v>Scanner</c:v>
                </c:pt>
                <c:pt idx="22">
                  <c:v>Smart TV</c:v>
                </c:pt>
                <c:pt idx="23">
                  <c:v>Sofa</c:v>
                </c:pt>
                <c:pt idx="24">
                  <c:v>Speaker</c:v>
                </c:pt>
                <c:pt idx="25">
                  <c:v>Standing Desk</c:v>
                </c:pt>
                <c:pt idx="26">
                  <c:v>Stapler</c:v>
                </c:pt>
                <c:pt idx="27">
                  <c:v>Tablet</c:v>
                </c:pt>
                <c:pt idx="28">
                  <c:v>Webcam</c:v>
                </c:pt>
                <c:pt idx="29">
                  <c:v>Whiteboard</c:v>
                </c:pt>
              </c:strCache>
            </c:strRef>
          </c:cat>
          <c:val>
            <c:numRef>
              <c:f>Sheet1!$DD$10:$DD$40</c:f>
              <c:numCache>
                <c:formatCode>General</c:formatCode>
                <c:ptCount val="30"/>
                <c:pt idx="3">
                  <c:v>9000</c:v>
                </c:pt>
                <c:pt idx="4">
                  <c:v>12000</c:v>
                </c:pt>
              </c:numCache>
            </c:numRef>
          </c:val>
          <c:smooth val="0"/>
          <c:extLst>
            <c:ext xmlns:c16="http://schemas.microsoft.com/office/drawing/2014/chart" uri="{C3380CC4-5D6E-409C-BE32-E72D297353CC}">
              <c16:uniqueId val="{0000000D-6CB2-480A-807F-DFB2895B529A}"/>
            </c:ext>
          </c:extLst>
        </c:ser>
        <c:ser>
          <c:idx val="2"/>
          <c:order val="2"/>
          <c:tx>
            <c:strRef>
              <c:f>Sheet1!$DE$7:$DE$9</c:f>
              <c:strCache>
                <c:ptCount val="1"/>
                <c:pt idx="0">
                  <c:v>Mar</c:v>
                </c:pt>
              </c:strCache>
            </c:strRef>
          </c:tx>
          <c:spPr>
            <a:ln w="28575" cap="rnd">
              <a:solidFill>
                <a:schemeClr val="accent3"/>
              </a:solidFill>
              <a:round/>
            </a:ln>
            <a:effectLst/>
          </c:spPr>
          <c:marker>
            <c:symbol val="none"/>
          </c:marker>
          <c:cat>
            <c:strRef>
              <c:f>Sheet1!$DB$10:$DB$40</c:f>
              <c:strCache>
                <c:ptCount val="30"/>
                <c:pt idx="0">
                  <c:v>Bookshelf</c:v>
                </c:pt>
                <c:pt idx="1">
                  <c:v>Cabinet</c:v>
                </c:pt>
                <c:pt idx="2">
                  <c:v>Calculator</c:v>
                </c:pt>
                <c:pt idx="3">
                  <c:v>Chair</c:v>
                </c:pt>
                <c:pt idx="4">
                  <c:v>Desk</c:v>
                </c:pt>
                <c:pt idx="5">
                  <c:v>Eraser Pack</c:v>
                </c:pt>
                <c:pt idx="6">
                  <c:v>File Folder</c:v>
                </c:pt>
                <c:pt idx="7">
                  <c:v>Hard Disk</c:v>
                </c:pt>
                <c:pt idx="8">
                  <c:v>Headphones</c:v>
                </c:pt>
                <c:pt idx="9">
                  <c:v>Keyboard</c:v>
                </c:pt>
                <c:pt idx="10">
                  <c:v>Lamp</c:v>
                </c:pt>
                <c:pt idx="11">
                  <c:v>Laptop</c:v>
                </c:pt>
                <c:pt idx="12">
                  <c:v>Marker Pack</c:v>
                </c:pt>
                <c:pt idx="13">
                  <c:v>Monitor</c:v>
                </c:pt>
                <c:pt idx="14">
                  <c:v>Mouse</c:v>
                </c:pt>
                <c:pt idx="15">
                  <c:v>Notebook</c:v>
                </c:pt>
                <c:pt idx="16">
                  <c:v>Office Chair</c:v>
                </c:pt>
                <c:pt idx="17">
                  <c:v>Pen Pack</c:v>
                </c:pt>
                <c:pt idx="18">
                  <c:v>Printer</c:v>
                </c:pt>
                <c:pt idx="19">
                  <c:v>Projector</c:v>
                </c:pt>
                <c:pt idx="20">
                  <c:v>Router</c:v>
                </c:pt>
                <c:pt idx="21">
                  <c:v>Scanner</c:v>
                </c:pt>
                <c:pt idx="22">
                  <c:v>Smart TV</c:v>
                </c:pt>
                <c:pt idx="23">
                  <c:v>Sofa</c:v>
                </c:pt>
                <c:pt idx="24">
                  <c:v>Speaker</c:v>
                </c:pt>
                <c:pt idx="25">
                  <c:v>Standing Desk</c:v>
                </c:pt>
                <c:pt idx="26">
                  <c:v>Stapler</c:v>
                </c:pt>
                <c:pt idx="27">
                  <c:v>Tablet</c:v>
                </c:pt>
                <c:pt idx="28">
                  <c:v>Webcam</c:v>
                </c:pt>
                <c:pt idx="29">
                  <c:v>Whiteboard</c:v>
                </c:pt>
              </c:strCache>
            </c:strRef>
          </c:cat>
          <c:val>
            <c:numRef>
              <c:f>Sheet1!$DE$10:$DE$40</c:f>
              <c:numCache>
                <c:formatCode>General</c:formatCode>
                <c:ptCount val="30"/>
                <c:pt idx="0">
                  <c:v>6000</c:v>
                </c:pt>
                <c:pt idx="15">
                  <c:v>1500</c:v>
                </c:pt>
                <c:pt idx="29">
                  <c:v>7000</c:v>
                </c:pt>
              </c:numCache>
            </c:numRef>
          </c:val>
          <c:smooth val="0"/>
          <c:extLst>
            <c:ext xmlns:c16="http://schemas.microsoft.com/office/drawing/2014/chart" uri="{C3380CC4-5D6E-409C-BE32-E72D297353CC}">
              <c16:uniqueId val="{0000000E-6CB2-480A-807F-DFB2895B529A}"/>
            </c:ext>
          </c:extLst>
        </c:ser>
        <c:ser>
          <c:idx val="3"/>
          <c:order val="3"/>
          <c:tx>
            <c:strRef>
              <c:f>Sheet1!$DF$7:$DF$9</c:f>
              <c:strCache>
                <c:ptCount val="1"/>
                <c:pt idx="0">
                  <c:v>Apr</c:v>
                </c:pt>
              </c:strCache>
            </c:strRef>
          </c:tx>
          <c:spPr>
            <a:ln w="28575" cap="rnd">
              <a:solidFill>
                <a:schemeClr val="accent4"/>
              </a:solidFill>
              <a:round/>
            </a:ln>
            <a:effectLst/>
          </c:spPr>
          <c:marker>
            <c:symbol val="none"/>
          </c:marker>
          <c:cat>
            <c:strRef>
              <c:f>Sheet1!$DB$10:$DB$40</c:f>
              <c:strCache>
                <c:ptCount val="30"/>
                <c:pt idx="0">
                  <c:v>Bookshelf</c:v>
                </c:pt>
                <c:pt idx="1">
                  <c:v>Cabinet</c:v>
                </c:pt>
                <c:pt idx="2">
                  <c:v>Calculator</c:v>
                </c:pt>
                <c:pt idx="3">
                  <c:v>Chair</c:v>
                </c:pt>
                <c:pt idx="4">
                  <c:v>Desk</c:v>
                </c:pt>
                <c:pt idx="5">
                  <c:v>Eraser Pack</c:v>
                </c:pt>
                <c:pt idx="6">
                  <c:v>File Folder</c:v>
                </c:pt>
                <c:pt idx="7">
                  <c:v>Hard Disk</c:v>
                </c:pt>
                <c:pt idx="8">
                  <c:v>Headphones</c:v>
                </c:pt>
                <c:pt idx="9">
                  <c:v>Keyboard</c:v>
                </c:pt>
                <c:pt idx="10">
                  <c:v>Lamp</c:v>
                </c:pt>
                <c:pt idx="11">
                  <c:v>Laptop</c:v>
                </c:pt>
                <c:pt idx="12">
                  <c:v>Marker Pack</c:v>
                </c:pt>
                <c:pt idx="13">
                  <c:v>Monitor</c:v>
                </c:pt>
                <c:pt idx="14">
                  <c:v>Mouse</c:v>
                </c:pt>
                <c:pt idx="15">
                  <c:v>Notebook</c:v>
                </c:pt>
                <c:pt idx="16">
                  <c:v>Office Chair</c:v>
                </c:pt>
                <c:pt idx="17">
                  <c:v>Pen Pack</c:v>
                </c:pt>
                <c:pt idx="18">
                  <c:v>Printer</c:v>
                </c:pt>
                <c:pt idx="19">
                  <c:v>Projector</c:v>
                </c:pt>
                <c:pt idx="20">
                  <c:v>Router</c:v>
                </c:pt>
                <c:pt idx="21">
                  <c:v>Scanner</c:v>
                </c:pt>
                <c:pt idx="22">
                  <c:v>Smart TV</c:v>
                </c:pt>
                <c:pt idx="23">
                  <c:v>Sofa</c:v>
                </c:pt>
                <c:pt idx="24">
                  <c:v>Speaker</c:v>
                </c:pt>
                <c:pt idx="25">
                  <c:v>Standing Desk</c:v>
                </c:pt>
                <c:pt idx="26">
                  <c:v>Stapler</c:v>
                </c:pt>
                <c:pt idx="27">
                  <c:v>Tablet</c:v>
                </c:pt>
                <c:pt idx="28">
                  <c:v>Webcam</c:v>
                </c:pt>
                <c:pt idx="29">
                  <c:v>Whiteboard</c:v>
                </c:pt>
              </c:strCache>
            </c:strRef>
          </c:cat>
          <c:val>
            <c:numRef>
              <c:f>Sheet1!$DF$10:$DF$40</c:f>
              <c:numCache>
                <c:formatCode>General</c:formatCode>
                <c:ptCount val="30"/>
                <c:pt idx="2">
                  <c:v>3200</c:v>
                </c:pt>
                <c:pt idx="17">
                  <c:v>1200</c:v>
                </c:pt>
                <c:pt idx="21">
                  <c:v>10000</c:v>
                </c:pt>
              </c:numCache>
            </c:numRef>
          </c:val>
          <c:smooth val="0"/>
          <c:extLst>
            <c:ext xmlns:c16="http://schemas.microsoft.com/office/drawing/2014/chart" uri="{C3380CC4-5D6E-409C-BE32-E72D297353CC}">
              <c16:uniqueId val="{0000000F-6CB2-480A-807F-DFB2895B529A}"/>
            </c:ext>
          </c:extLst>
        </c:ser>
        <c:ser>
          <c:idx val="4"/>
          <c:order val="4"/>
          <c:tx>
            <c:strRef>
              <c:f>Sheet1!$DG$7:$DG$9</c:f>
              <c:strCache>
                <c:ptCount val="1"/>
                <c:pt idx="0">
                  <c:v>May</c:v>
                </c:pt>
              </c:strCache>
            </c:strRef>
          </c:tx>
          <c:spPr>
            <a:ln w="28575" cap="rnd">
              <a:solidFill>
                <a:schemeClr val="accent5"/>
              </a:solidFill>
              <a:round/>
            </a:ln>
            <a:effectLst/>
          </c:spPr>
          <c:marker>
            <c:symbol val="none"/>
          </c:marker>
          <c:cat>
            <c:strRef>
              <c:f>Sheet1!$DB$10:$DB$40</c:f>
              <c:strCache>
                <c:ptCount val="30"/>
                <c:pt idx="0">
                  <c:v>Bookshelf</c:v>
                </c:pt>
                <c:pt idx="1">
                  <c:v>Cabinet</c:v>
                </c:pt>
                <c:pt idx="2">
                  <c:v>Calculator</c:v>
                </c:pt>
                <c:pt idx="3">
                  <c:v>Chair</c:v>
                </c:pt>
                <c:pt idx="4">
                  <c:v>Desk</c:v>
                </c:pt>
                <c:pt idx="5">
                  <c:v>Eraser Pack</c:v>
                </c:pt>
                <c:pt idx="6">
                  <c:v>File Folder</c:v>
                </c:pt>
                <c:pt idx="7">
                  <c:v>Hard Disk</c:v>
                </c:pt>
                <c:pt idx="8">
                  <c:v>Headphones</c:v>
                </c:pt>
                <c:pt idx="9">
                  <c:v>Keyboard</c:v>
                </c:pt>
                <c:pt idx="10">
                  <c:v>Lamp</c:v>
                </c:pt>
                <c:pt idx="11">
                  <c:v>Laptop</c:v>
                </c:pt>
                <c:pt idx="12">
                  <c:v>Marker Pack</c:v>
                </c:pt>
                <c:pt idx="13">
                  <c:v>Monitor</c:v>
                </c:pt>
                <c:pt idx="14">
                  <c:v>Mouse</c:v>
                </c:pt>
                <c:pt idx="15">
                  <c:v>Notebook</c:v>
                </c:pt>
                <c:pt idx="16">
                  <c:v>Office Chair</c:v>
                </c:pt>
                <c:pt idx="17">
                  <c:v>Pen Pack</c:v>
                </c:pt>
                <c:pt idx="18">
                  <c:v>Printer</c:v>
                </c:pt>
                <c:pt idx="19">
                  <c:v>Projector</c:v>
                </c:pt>
                <c:pt idx="20">
                  <c:v>Router</c:v>
                </c:pt>
                <c:pt idx="21">
                  <c:v>Scanner</c:v>
                </c:pt>
                <c:pt idx="22">
                  <c:v>Smart TV</c:v>
                </c:pt>
                <c:pt idx="23">
                  <c:v>Sofa</c:v>
                </c:pt>
                <c:pt idx="24">
                  <c:v>Speaker</c:v>
                </c:pt>
                <c:pt idx="25">
                  <c:v>Standing Desk</c:v>
                </c:pt>
                <c:pt idx="26">
                  <c:v>Stapler</c:v>
                </c:pt>
                <c:pt idx="27">
                  <c:v>Tablet</c:v>
                </c:pt>
                <c:pt idx="28">
                  <c:v>Webcam</c:v>
                </c:pt>
                <c:pt idx="29">
                  <c:v>Whiteboard</c:v>
                </c:pt>
              </c:strCache>
            </c:strRef>
          </c:cat>
          <c:val>
            <c:numRef>
              <c:f>Sheet1!$DG$10:$DG$40</c:f>
              <c:numCache>
                <c:formatCode>General</c:formatCode>
                <c:ptCount val="30"/>
                <c:pt idx="8">
                  <c:v>6000</c:v>
                </c:pt>
                <c:pt idx="23">
                  <c:v>32000</c:v>
                </c:pt>
                <c:pt idx="27">
                  <c:v>22000</c:v>
                </c:pt>
                <c:pt idx="28">
                  <c:v>5000</c:v>
                </c:pt>
              </c:numCache>
            </c:numRef>
          </c:val>
          <c:smooth val="0"/>
          <c:extLst>
            <c:ext xmlns:c16="http://schemas.microsoft.com/office/drawing/2014/chart" uri="{C3380CC4-5D6E-409C-BE32-E72D297353CC}">
              <c16:uniqueId val="{00000010-6CB2-480A-807F-DFB2895B529A}"/>
            </c:ext>
          </c:extLst>
        </c:ser>
        <c:ser>
          <c:idx val="5"/>
          <c:order val="5"/>
          <c:tx>
            <c:strRef>
              <c:f>Sheet1!$DH$7:$DH$9</c:f>
              <c:strCache>
                <c:ptCount val="1"/>
                <c:pt idx="0">
                  <c:v>Jun</c:v>
                </c:pt>
              </c:strCache>
            </c:strRef>
          </c:tx>
          <c:spPr>
            <a:ln w="28575" cap="rnd">
              <a:solidFill>
                <a:schemeClr val="accent6"/>
              </a:solidFill>
              <a:round/>
            </a:ln>
            <a:effectLst/>
          </c:spPr>
          <c:marker>
            <c:symbol val="none"/>
          </c:marker>
          <c:cat>
            <c:strRef>
              <c:f>Sheet1!$DB$10:$DB$40</c:f>
              <c:strCache>
                <c:ptCount val="30"/>
                <c:pt idx="0">
                  <c:v>Bookshelf</c:v>
                </c:pt>
                <c:pt idx="1">
                  <c:v>Cabinet</c:v>
                </c:pt>
                <c:pt idx="2">
                  <c:v>Calculator</c:v>
                </c:pt>
                <c:pt idx="3">
                  <c:v>Chair</c:v>
                </c:pt>
                <c:pt idx="4">
                  <c:v>Desk</c:v>
                </c:pt>
                <c:pt idx="5">
                  <c:v>Eraser Pack</c:v>
                </c:pt>
                <c:pt idx="6">
                  <c:v>File Folder</c:v>
                </c:pt>
                <c:pt idx="7">
                  <c:v>Hard Disk</c:v>
                </c:pt>
                <c:pt idx="8">
                  <c:v>Headphones</c:v>
                </c:pt>
                <c:pt idx="9">
                  <c:v>Keyboard</c:v>
                </c:pt>
                <c:pt idx="10">
                  <c:v>Lamp</c:v>
                </c:pt>
                <c:pt idx="11">
                  <c:v>Laptop</c:v>
                </c:pt>
                <c:pt idx="12">
                  <c:v>Marker Pack</c:v>
                </c:pt>
                <c:pt idx="13">
                  <c:v>Monitor</c:v>
                </c:pt>
                <c:pt idx="14">
                  <c:v>Mouse</c:v>
                </c:pt>
                <c:pt idx="15">
                  <c:v>Notebook</c:v>
                </c:pt>
                <c:pt idx="16">
                  <c:v>Office Chair</c:v>
                </c:pt>
                <c:pt idx="17">
                  <c:v>Pen Pack</c:v>
                </c:pt>
                <c:pt idx="18">
                  <c:v>Printer</c:v>
                </c:pt>
                <c:pt idx="19">
                  <c:v>Projector</c:v>
                </c:pt>
                <c:pt idx="20">
                  <c:v>Router</c:v>
                </c:pt>
                <c:pt idx="21">
                  <c:v>Scanner</c:v>
                </c:pt>
                <c:pt idx="22">
                  <c:v>Smart TV</c:v>
                </c:pt>
                <c:pt idx="23">
                  <c:v>Sofa</c:v>
                </c:pt>
                <c:pt idx="24">
                  <c:v>Speaker</c:v>
                </c:pt>
                <c:pt idx="25">
                  <c:v>Standing Desk</c:v>
                </c:pt>
                <c:pt idx="26">
                  <c:v>Stapler</c:v>
                </c:pt>
                <c:pt idx="27">
                  <c:v>Tablet</c:v>
                </c:pt>
                <c:pt idx="28">
                  <c:v>Webcam</c:v>
                </c:pt>
                <c:pt idx="29">
                  <c:v>Whiteboard</c:v>
                </c:pt>
              </c:strCache>
            </c:strRef>
          </c:cat>
          <c:val>
            <c:numRef>
              <c:f>Sheet1!$DH$10:$DH$40</c:f>
              <c:numCache>
                <c:formatCode>General</c:formatCode>
                <c:ptCount val="30"/>
                <c:pt idx="1">
                  <c:v>9000</c:v>
                </c:pt>
                <c:pt idx="10">
                  <c:v>6000</c:v>
                </c:pt>
              </c:numCache>
            </c:numRef>
          </c:val>
          <c:smooth val="0"/>
          <c:extLst>
            <c:ext xmlns:c16="http://schemas.microsoft.com/office/drawing/2014/chart" uri="{C3380CC4-5D6E-409C-BE32-E72D297353CC}">
              <c16:uniqueId val="{00000011-6CB2-480A-807F-DFB2895B529A}"/>
            </c:ext>
          </c:extLst>
        </c:ser>
        <c:dLbls>
          <c:showLegendKey val="0"/>
          <c:showVal val="0"/>
          <c:showCatName val="0"/>
          <c:showSerName val="0"/>
          <c:showPercent val="0"/>
          <c:showBubbleSize val="0"/>
        </c:dLbls>
        <c:smooth val="0"/>
        <c:axId val="366574255"/>
        <c:axId val="366571855"/>
      </c:lineChart>
      <c:catAx>
        <c:axId val="36657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571855"/>
        <c:crosses val="autoZero"/>
        <c:auto val="1"/>
        <c:lblAlgn val="ctr"/>
        <c:lblOffset val="100"/>
        <c:noMultiLvlLbl val="0"/>
      </c:catAx>
      <c:valAx>
        <c:axId val="36657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57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Sheet1!$P$6</c:f>
              <c:strCache>
                <c:ptCount val="1"/>
                <c:pt idx="0">
                  <c:v>Total</c:v>
                </c:pt>
              </c:strCache>
            </c:strRef>
          </c:tx>
          <c:spPr>
            <a:solidFill>
              <a:schemeClr val="accent1"/>
            </a:solidFill>
            <a:ln>
              <a:noFill/>
            </a:ln>
            <a:effectLst/>
          </c:spPr>
          <c:invertIfNegative val="0"/>
          <c:cat>
            <c:strRef>
              <c:f>Sheet1!$O$7:$O$10</c:f>
              <c:strCache>
                <c:ptCount val="3"/>
                <c:pt idx="0">
                  <c:v>Electronics</c:v>
                </c:pt>
                <c:pt idx="1">
                  <c:v>Furniture</c:v>
                </c:pt>
                <c:pt idx="2">
                  <c:v>Office Supplies</c:v>
                </c:pt>
              </c:strCache>
            </c:strRef>
          </c:cat>
          <c:val>
            <c:numRef>
              <c:f>Sheet1!$P$7:$P$10</c:f>
              <c:numCache>
                <c:formatCode>General</c:formatCode>
                <c:ptCount val="3"/>
                <c:pt idx="0">
                  <c:v>256900</c:v>
                </c:pt>
                <c:pt idx="1">
                  <c:v>97000</c:v>
                </c:pt>
                <c:pt idx="2">
                  <c:v>23700</c:v>
                </c:pt>
              </c:numCache>
            </c:numRef>
          </c:val>
          <c:extLst>
            <c:ext xmlns:c16="http://schemas.microsoft.com/office/drawing/2014/chart" uri="{C3380CC4-5D6E-409C-BE32-E72D297353CC}">
              <c16:uniqueId val="{00000001-C338-48E3-8BF7-BF1B40BAC51C}"/>
            </c:ext>
          </c:extLst>
        </c:ser>
        <c:dLbls>
          <c:showLegendKey val="0"/>
          <c:showVal val="0"/>
          <c:showCatName val="0"/>
          <c:showSerName val="0"/>
          <c:showPercent val="0"/>
          <c:showBubbleSize val="0"/>
        </c:dLbls>
        <c:gapWidth val="219"/>
        <c:overlap val="-27"/>
        <c:axId val="574649967"/>
        <c:axId val="585897823"/>
      </c:barChart>
      <c:catAx>
        <c:axId val="57464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897823"/>
        <c:crosses val="autoZero"/>
        <c:auto val="1"/>
        <c:lblAlgn val="ctr"/>
        <c:lblOffset val="100"/>
        <c:noMultiLvlLbl val="0"/>
      </c:catAx>
      <c:valAx>
        <c:axId val="58589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64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[project_1(major).xlsx]Sheet1!PivotTable4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09873985068971"/>
          <c:y val="0.17091393927196796"/>
          <c:w val="0.70367741562589614"/>
          <c:h val="0.47375202300990332"/>
        </c:manualLayout>
      </c:layout>
      <c:lineChart>
        <c:grouping val="standard"/>
        <c:varyColors val="0"/>
        <c:ser>
          <c:idx val="0"/>
          <c:order val="0"/>
          <c:tx>
            <c:strRef>
              <c:f>Sheet1!$AG$5</c:f>
              <c:strCache>
                <c:ptCount val="1"/>
                <c:pt idx="0">
                  <c:v>Total</c:v>
                </c:pt>
              </c:strCache>
            </c:strRef>
          </c:tx>
          <c:spPr>
            <a:ln w="28575" cap="rnd">
              <a:solidFill>
                <a:schemeClr val="accent6"/>
              </a:solidFill>
              <a:round/>
            </a:ln>
            <a:effectLst/>
          </c:spPr>
          <c:marker>
            <c:symbol val="none"/>
          </c:marker>
          <c:cat>
            <c:strRef>
              <c:f>Sheet1!$AF$6:$AF$18</c:f>
              <c:strCache>
                <c:ptCount val="12"/>
                <c:pt idx="0">
                  <c:v>1/1/2025</c:v>
                </c:pt>
                <c:pt idx="1">
                  <c:v>2/1/2025</c:v>
                </c:pt>
                <c:pt idx="2">
                  <c:v>3/1/2025</c:v>
                </c:pt>
                <c:pt idx="3">
                  <c:v>4/1/2025</c:v>
                </c:pt>
                <c:pt idx="4">
                  <c:v>5/1/2025</c:v>
                </c:pt>
                <c:pt idx="5">
                  <c:v>6/1/2025</c:v>
                </c:pt>
                <c:pt idx="6">
                  <c:v>7/1/2025</c:v>
                </c:pt>
                <c:pt idx="7">
                  <c:v>8/1/2025</c:v>
                </c:pt>
                <c:pt idx="8">
                  <c:v>9/1/2025</c:v>
                </c:pt>
                <c:pt idx="9">
                  <c:v>10/1/2025</c:v>
                </c:pt>
                <c:pt idx="10">
                  <c:v>11/1/2025</c:v>
                </c:pt>
                <c:pt idx="11">
                  <c:v>12/1/2025</c:v>
                </c:pt>
              </c:strCache>
            </c:strRef>
          </c:cat>
          <c:val>
            <c:numRef>
              <c:f>Sheet1!$AG$6:$AG$18</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smooth val="0"/>
          <c:extLst>
            <c:ext xmlns:c16="http://schemas.microsoft.com/office/drawing/2014/chart" uri="{C3380CC4-5D6E-409C-BE32-E72D297353CC}">
              <c16:uniqueId val="{00000001-48CE-4351-82E1-0839998A6E12}"/>
            </c:ext>
          </c:extLst>
        </c:ser>
        <c:dLbls>
          <c:showLegendKey val="0"/>
          <c:showVal val="0"/>
          <c:showCatName val="0"/>
          <c:showSerName val="0"/>
          <c:showPercent val="0"/>
          <c:showBubbleSize val="0"/>
        </c:dLbls>
        <c:smooth val="0"/>
        <c:axId val="587193583"/>
        <c:axId val="587191663"/>
      </c:lineChart>
      <c:catAx>
        <c:axId val="58719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191663"/>
        <c:crosses val="autoZero"/>
        <c:auto val="1"/>
        <c:lblAlgn val="ctr"/>
        <c:lblOffset val="100"/>
        <c:noMultiLvlLbl val="0"/>
      </c:catAx>
      <c:valAx>
        <c:axId val="58719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19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[project_1(major).xlsx]Sheet1!PivotTable3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layout>
        <c:manualLayout>
          <c:xMode val="edge"/>
          <c:yMode val="edge"/>
          <c:x val="0.37888336773437303"/>
          <c:y val="0.1134685388915490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Sheet1!$AA$5</c:f>
              <c:strCache>
                <c:ptCount val="1"/>
                <c:pt idx="0">
                  <c:v>Total</c:v>
                </c:pt>
              </c:strCache>
            </c:strRef>
          </c:tx>
          <c:spPr>
            <a:solidFill>
              <a:schemeClr val="accent2"/>
            </a:solidFill>
            <a:ln>
              <a:noFill/>
            </a:ln>
            <a:effectLst/>
          </c:spPr>
          <c:invertIfNegative val="0"/>
          <c:cat>
            <c:strRef>
              <c:f>Sheet1!$Z$6:$Z$10</c:f>
              <c:strCache>
                <c:ptCount val="4"/>
                <c:pt idx="0">
                  <c:v>East</c:v>
                </c:pt>
                <c:pt idx="1">
                  <c:v>North</c:v>
                </c:pt>
                <c:pt idx="2">
                  <c:v>South</c:v>
                </c:pt>
                <c:pt idx="3">
                  <c:v>West</c:v>
                </c:pt>
              </c:strCache>
            </c:strRef>
          </c:cat>
          <c:val>
            <c:numRef>
              <c:f>Sheet1!$AA$6:$AA$10</c:f>
              <c:numCache>
                <c:formatCode>General</c:formatCode>
                <c:ptCount val="4"/>
                <c:pt idx="0">
                  <c:v>6000</c:v>
                </c:pt>
                <c:pt idx="1">
                  <c:v>23000</c:v>
                </c:pt>
                <c:pt idx="2">
                  <c:v>246100</c:v>
                </c:pt>
                <c:pt idx="3">
                  <c:v>102500</c:v>
                </c:pt>
              </c:numCache>
            </c:numRef>
          </c:val>
          <c:extLst>
            <c:ext xmlns:c16="http://schemas.microsoft.com/office/drawing/2014/chart" uri="{C3380CC4-5D6E-409C-BE32-E72D297353CC}">
              <c16:uniqueId val="{00000001-E4E8-4E89-91F8-D5FA9804D5B0}"/>
            </c:ext>
          </c:extLst>
        </c:ser>
        <c:dLbls>
          <c:showLegendKey val="0"/>
          <c:showVal val="0"/>
          <c:showCatName val="0"/>
          <c:showSerName val="0"/>
          <c:showPercent val="0"/>
          <c:showBubbleSize val="0"/>
        </c:dLbls>
        <c:gapWidth val="182"/>
        <c:axId val="576043951"/>
        <c:axId val="576044431"/>
      </c:barChart>
      <c:catAx>
        <c:axId val="576043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044431"/>
        <c:crosses val="autoZero"/>
        <c:auto val="1"/>
        <c:lblAlgn val="ctr"/>
        <c:lblOffset val="100"/>
        <c:noMultiLvlLbl val="0"/>
      </c:catAx>
      <c:valAx>
        <c:axId val="576044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04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cust names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Sheet1!$AW$5</c:f>
              <c:strCache>
                <c:ptCount val="1"/>
                <c:pt idx="0">
                  <c:v>Total</c:v>
                </c:pt>
              </c:strCache>
            </c:strRef>
          </c:tx>
          <c:spPr>
            <a:solidFill>
              <a:schemeClr val="accent1"/>
            </a:solidFill>
            <a:ln>
              <a:noFill/>
            </a:ln>
            <a:effectLst/>
          </c:spPr>
          <c:invertIfNegative val="0"/>
          <c:cat>
            <c:strRef>
              <c:f>Sheet1!$AV$6:$AV$29</c:f>
              <c:strCache>
                <c:ptCount val="23"/>
                <c:pt idx="0">
                  <c:v>Ajay Kumar</c:v>
                </c:pt>
                <c:pt idx="1">
                  <c:v>Ravi Kumar</c:v>
                </c:pt>
                <c:pt idx="2">
                  <c:v>Kiran Rao</c:v>
                </c:pt>
                <c:pt idx="3">
                  <c:v>Nitin Joshi</c:v>
                </c:pt>
                <c:pt idx="4">
                  <c:v>Mohan Raj</c:v>
                </c:pt>
                <c:pt idx="5">
                  <c:v>Kavya Shetty</c:v>
                </c:pt>
                <c:pt idx="6">
                  <c:v>Priya Sharma</c:v>
                </c:pt>
                <c:pt idx="7">
                  <c:v>Sneha Reddy</c:v>
                </c:pt>
                <c:pt idx="8">
                  <c:v>Arjun Singh</c:v>
                </c:pt>
                <c:pt idx="9">
                  <c:v>Vinay Singh</c:v>
                </c:pt>
                <c:pt idx="10">
                  <c:v>Amit Verma</c:v>
                </c:pt>
                <c:pt idx="11">
                  <c:v>Ritu Jain</c:v>
                </c:pt>
                <c:pt idx="12">
                  <c:v>Preeti Shah</c:v>
                </c:pt>
                <c:pt idx="13">
                  <c:v>Neha Jain</c:v>
                </c:pt>
                <c:pt idx="14">
                  <c:v>Anjali Singh</c:v>
                </c:pt>
                <c:pt idx="15">
                  <c:v>Rahul Das</c:v>
                </c:pt>
                <c:pt idx="16">
                  <c:v>Deepa Nair</c:v>
                </c:pt>
                <c:pt idx="17">
                  <c:v>Sanjay Patel</c:v>
                </c:pt>
                <c:pt idx="18">
                  <c:v>Karthik S</c:v>
                </c:pt>
                <c:pt idx="19">
                  <c:v>Lakshmi Devi</c:v>
                </c:pt>
                <c:pt idx="20">
                  <c:v>Rekha Jain</c:v>
                </c:pt>
                <c:pt idx="21">
                  <c:v>Vivek Gupta</c:v>
                </c:pt>
                <c:pt idx="22">
                  <c:v>Suresh Kumar</c:v>
                </c:pt>
              </c:strCache>
            </c:strRef>
          </c:cat>
          <c:val>
            <c:numRef>
              <c:f>Sheet1!$AW$6:$AW$29</c:f>
              <c:numCache>
                <c:formatCode>General</c:formatCode>
                <c:ptCount val="23"/>
                <c:pt idx="0">
                  <c:v>11400</c:v>
                </c:pt>
                <c:pt idx="1">
                  <c:v>10000</c:v>
                </c:pt>
                <c:pt idx="2">
                  <c:v>8000</c:v>
                </c:pt>
                <c:pt idx="3">
                  <c:v>7000</c:v>
                </c:pt>
                <c:pt idx="4">
                  <c:v>5000</c:v>
                </c:pt>
                <c:pt idx="5">
                  <c:v>4600</c:v>
                </c:pt>
                <c:pt idx="6">
                  <c:v>4000</c:v>
                </c:pt>
                <c:pt idx="7">
                  <c:v>3900</c:v>
                </c:pt>
                <c:pt idx="8">
                  <c:v>3000</c:v>
                </c:pt>
                <c:pt idx="9">
                  <c:v>3000</c:v>
                </c:pt>
                <c:pt idx="10">
                  <c:v>2500</c:v>
                </c:pt>
                <c:pt idx="11">
                  <c:v>2000</c:v>
                </c:pt>
                <c:pt idx="12">
                  <c:v>2000</c:v>
                </c:pt>
                <c:pt idx="13">
                  <c:v>1500</c:v>
                </c:pt>
                <c:pt idx="14">
                  <c:v>1500</c:v>
                </c:pt>
                <c:pt idx="15">
                  <c:v>1500</c:v>
                </c:pt>
                <c:pt idx="16">
                  <c:v>1000</c:v>
                </c:pt>
                <c:pt idx="17">
                  <c:v>1000</c:v>
                </c:pt>
                <c:pt idx="18">
                  <c:v>1000</c:v>
                </c:pt>
                <c:pt idx="19">
                  <c:v>800</c:v>
                </c:pt>
                <c:pt idx="20">
                  <c:v>750</c:v>
                </c:pt>
                <c:pt idx="21">
                  <c:v>500</c:v>
                </c:pt>
                <c:pt idx="22">
                  <c:v>200</c:v>
                </c:pt>
              </c:numCache>
            </c:numRef>
          </c:val>
          <c:extLst>
            <c:ext xmlns:c16="http://schemas.microsoft.com/office/drawing/2014/chart" uri="{C3380CC4-5D6E-409C-BE32-E72D297353CC}">
              <c16:uniqueId val="{00000001-2DC3-4131-AE98-ACDBD10E760A}"/>
            </c:ext>
          </c:extLst>
        </c:ser>
        <c:dLbls>
          <c:showLegendKey val="0"/>
          <c:showVal val="0"/>
          <c:showCatName val="0"/>
          <c:showSerName val="0"/>
          <c:showPercent val="0"/>
          <c:showBubbleSize val="0"/>
        </c:dLbls>
        <c:gapWidth val="182"/>
        <c:axId val="205564064"/>
        <c:axId val="205565984"/>
      </c:barChart>
      <c:catAx>
        <c:axId val="20556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65984"/>
        <c:crosses val="autoZero"/>
        <c:auto val="1"/>
        <c:lblAlgn val="ctr"/>
        <c:lblOffset val="100"/>
        <c:noMultiLvlLbl val="0"/>
      </c:catAx>
      <c:valAx>
        <c:axId val="205565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6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customer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Sheet1!$BG$6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D5-48F9-8B2A-C15E72A1581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5D5-48F9-8B2A-C15E72A1581A}"/>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35D5-48F9-8B2A-C15E72A1581A}"/>
              </c:ext>
            </c:extLst>
          </c:dPt>
          <c:cat>
            <c:strRef>
              <c:f>Sheet1!$BF$7:$BF$10</c:f>
              <c:strCache>
                <c:ptCount val="3"/>
                <c:pt idx="0">
                  <c:v>Consumer</c:v>
                </c:pt>
                <c:pt idx="1">
                  <c:v>Corporate</c:v>
                </c:pt>
                <c:pt idx="2">
                  <c:v>Home Office</c:v>
                </c:pt>
              </c:strCache>
            </c:strRef>
          </c:cat>
          <c:val>
            <c:numRef>
              <c:f>Sheet1!$BG$7:$BG$10</c:f>
              <c:numCache>
                <c:formatCode>General</c:formatCode>
                <c:ptCount val="3"/>
                <c:pt idx="0">
                  <c:v>232000</c:v>
                </c:pt>
                <c:pt idx="1">
                  <c:v>100000</c:v>
                </c:pt>
                <c:pt idx="2">
                  <c:v>45600</c:v>
                </c:pt>
              </c:numCache>
            </c:numRef>
          </c:val>
          <c:extLst>
            <c:ext xmlns:c16="http://schemas.microsoft.com/office/drawing/2014/chart" uri="{C3380CC4-5D6E-409C-BE32-E72D297353CC}">
              <c16:uniqueId val="{00000007-6D47-45D5-95A1-DAEE09EB29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Repeat</a:t>
            </a:r>
            <a:r>
              <a:rPr lang="en-IN" baseline="0"/>
              <a:t> vs New</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87864822974936"/>
          <c:y val="0.31178469056499519"/>
          <c:w val="0.63174747619754401"/>
          <c:h val="0.45259143182760048"/>
        </c:manualLayout>
      </c:layout>
      <c:barChart>
        <c:barDir val="col"/>
        <c:grouping val="clustered"/>
        <c:varyColors val="0"/>
        <c:ser>
          <c:idx val="0"/>
          <c:order val="0"/>
          <c:tx>
            <c:strRef>
              <c:f>Sheet1!$BR$5</c:f>
              <c:strCache>
                <c:ptCount val="1"/>
                <c:pt idx="0">
                  <c:v>repeat customer</c:v>
                </c:pt>
              </c:strCache>
            </c:strRef>
          </c:tx>
          <c:spPr>
            <a:solidFill>
              <a:schemeClr val="accent6"/>
            </a:solidFill>
            <a:ln>
              <a:noFill/>
            </a:ln>
            <a:effectLst/>
          </c:spPr>
          <c:invertIfNegative val="0"/>
          <c:cat>
            <c:strRef>
              <c:f>Sheet1!$BQ$6:$BQ$10</c:f>
              <c:strCache>
                <c:ptCount val="4"/>
                <c:pt idx="0">
                  <c:v>East</c:v>
                </c:pt>
                <c:pt idx="1">
                  <c:v>North</c:v>
                </c:pt>
                <c:pt idx="2">
                  <c:v>South</c:v>
                </c:pt>
                <c:pt idx="3">
                  <c:v>West</c:v>
                </c:pt>
              </c:strCache>
            </c:strRef>
          </c:cat>
          <c:val>
            <c:numRef>
              <c:f>Sheet1!$BR$6:$BR$10</c:f>
              <c:numCache>
                <c:formatCode>General</c:formatCode>
                <c:ptCount val="4"/>
                <c:pt idx="2">
                  <c:v>4</c:v>
                </c:pt>
              </c:numCache>
            </c:numRef>
          </c:val>
          <c:extLst>
            <c:ext xmlns:c16="http://schemas.microsoft.com/office/drawing/2014/chart" uri="{C3380CC4-5D6E-409C-BE32-E72D297353CC}">
              <c16:uniqueId val="{00000003-5AAC-49D4-8009-94F81A9E680D}"/>
            </c:ext>
          </c:extLst>
        </c:ser>
        <c:ser>
          <c:idx val="1"/>
          <c:order val="1"/>
          <c:tx>
            <c:strRef>
              <c:f>Sheet1!$BS$5</c:f>
              <c:strCache>
                <c:ptCount val="1"/>
                <c:pt idx="0">
                  <c:v>New Customers</c:v>
                </c:pt>
              </c:strCache>
            </c:strRef>
          </c:tx>
          <c:spPr>
            <a:solidFill>
              <a:schemeClr val="accent5"/>
            </a:solidFill>
            <a:ln>
              <a:noFill/>
            </a:ln>
            <a:effectLst/>
          </c:spPr>
          <c:invertIfNegative val="0"/>
          <c:cat>
            <c:strRef>
              <c:f>Sheet1!$BQ$6:$BQ$10</c:f>
              <c:strCache>
                <c:ptCount val="4"/>
                <c:pt idx="0">
                  <c:v>East</c:v>
                </c:pt>
                <c:pt idx="1">
                  <c:v>North</c:v>
                </c:pt>
                <c:pt idx="2">
                  <c:v>South</c:v>
                </c:pt>
                <c:pt idx="3">
                  <c:v>West</c:v>
                </c:pt>
              </c:strCache>
            </c:strRef>
          </c:cat>
          <c:val>
            <c:numRef>
              <c:f>Sheet1!$BS$6:$BS$10</c:f>
              <c:numCache>
                <c:formatCode>General</c:formatCode>
                <c:ptCount val="4"/>
                <c:pt idx="0">
                  <c:v>1</c:v>
                </c:pt>
                <c:pt idx="1">
                  <c:v>4</c:v>
                </c:pt>
                <c:pt idx="2">
                  <c:v>9</c:v>
                </c:pt>
                <c:pt idx="3">
                  <c:v>5</c:v>
                </c:pt>
              </c:numCache>
            </c:numRef>
          </c:val>
          <c:extLst>
            <c:ext xmlns:c16="http://schemas.microsoft.com/office/drawing/2014/chart" uri="{C3380CC4-5D6E-409C-BE32-E72D297353CC}">
              <c16:uniqueId val="{00000004-5AAC-49D4-8009-94F81A9E680D}"/>
            </c:ext>
          </c:extLst>
        </c:ser>
        <c:ser>
          <c:idx val="2"/>
          <c:order val="2"/>
          <c:tx>
            <c:strRef>
              <c:f>Sheet1!$BT$5</c:f>
              <c:strCache>
                <c:ptCount val="1"/>
                <c:pt idx="0">
                  <c:v>Retention Rate</c:v>
                </c:pt>
              </c:strCache>
            </c:strRef>
          </c:tx>
          <c:spPr>
            <a:solidFill>
              <a:schemeClr val="accent4"/>
            </a:solidFill>
            <a:ln>
              <a:noFill/>
            </a:ln>
            <a:effectLst/>
          </c:spPr>
          <c:invertIfNegative val="0"/>
          <c:cat>
            <c:strRef>
              <c:f>Sheet1!$BQ$6:$BQ$10</c:f>
              <c:strCache>
                <c:ptCount val="4"/>
                <c:pt idx="0">
                  <c:v>East</c:v>
                </c:pt>
                <c:pt idx="1">
                  <c:v>North</c:v>
                </c:pt>
                <c:pt idx="2">
                  <c:v>South</c:v>
                </c:pt>
                <c:pt idx="3">
                  <c:v>West</c:v>
                </c:pt>
              </c:strCache>
            </c:strRef>
          </c:cat>
          <c:val>
            <c:numRef>
              <c:f>Sheet1!$BT$6:$BT$10</c:f>
              <c:numCache>
                <c:formatCode>General</c:formatCode>
                <c:ptCount val="4"/>
                <c:pt idx="2">
                  <c:v>0.30769230769230771</c:v>
                </c:pt>
              </c:numCache>
            </c:numRef>
          </c:val>
          <c:extLst>
            <c:ext xmlns:c16="http://schemas.microsoft.com/office/drawing/2014/chart" uri="{C3380CC4-5D6E-409C-BE32-E72D297353CC}">
              <c16:uniqueId val="{00000005-5AAC-49D4-8009-94F81A9E680D}"/>
            </c:ext>
          </c:extLst>
        </c:ser>
        <c:dLbls>
          <c:showLegendKey val="0"/>
          <c:showVal val="0"/>
          <c:showCatName val="0"/>
          <c:showSerName val="0"/>
          <c:showPercent val="0"/>
          <c:showBubbleSize val="0"/>
        </c:dLbls>
        <c:gapWidth val="219"/>
        <c:overlap val="-27"/>
        <c:axId val="199622703"/>
        <c:axId val="199623183"/>
      </c:barChart>
      <c:catAx>
        <c:axId val="19962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23183"/>
        <c:crosses val="autoZero"/>
        <c:auto val="1"/>
        <c:lblAlgn val="ctr"/>
        <c:lblOffset val="100"/>
        <c:noMultiLvlLbl val="0"/>
      </c:catAx>
      <c:valAx>
        <c:axId val="19962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2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[project_1(major).xlsx]Sheet1!PivotTable9</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Available stock by Category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Sheet1!$CH$4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Sheet1!$CG$5:$CG$8</c:f>
              <c:strCache>
                <c:ptCount val="3"/>
                <c:pt idx="0">
                  <c:v>Electronics</c:v>
                </c:pt>
                <c:pt idx="1">
                  <c:v>Furniture</c:v>
                </c:pt>
                <c:pt idx="2">
                  <c:v>Office Supplies</c:v>
                </c:pt>
              </c:strCache>
            </c:strRef>
          </c:cat>
          <c:val>
            <c:numRef>
              <c:f>Sheet1!$CH$5:$CH$8</c:f>
              <c:numCache>
                <c:formatCode>General</c:formatCode>
                <c:ptCount val="3"/>
                <c:pt idx="0">
                  <c:v>2349</c:v>
                </c:pt>
                <c:pt idx="1">
                  <c:v>2349</c:v>
                </c:pt>
                <c:pt idx="2">
                  <c:v>2349</c:v>
                </c:pt>
              </c:numCache>
            </c:numRef>
          </c:val>
          <c:extLst>
            <c:ext xmlns:c16="http://schemas.microsoft.com/office/drawing/2014/chart" uri="{C3380CC4-5D6E-409C-BE32-E72D297353CC}">
              <c16:uniqueId val="{00000000-CE10-4582-B1A6-6CC70AA9C50C}"/>
            </c:ext>
          </c:extLst>
        </c:ser>
        <c:dLbls>
          <c:showLegendKey val="0"/>
          <c:showVal val="1"/>
          <c:showCatName val="0"/>
          <c:showSerName val="0"/>
          <c:showPercent val="0"/>
          <c:showBubbleSize val="0"/>
        </c:dLbls>
        <c:gapWidth val="150"/>
        <c:shape val="box"/>
        <c:axId val="285519791"/>
        <c:axId val="285517871"/>
        <c:axId val="0"/>
      </c:bar3DChart>
      <c:catAx>
        <c:axId val="28551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5517871"/>
        <c:crosses val="autoZero"/>
        <c:auto val="1"/>
        <c:lblAlgn val="ctr"/>
        <c:lblOffset val="100"/>
        <c:noMultiLvlLbl val="0"/>
      </c:catAx>
      <c:valAx>
        <c:axId val="28551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551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Dead</a:t>
            </a:r>
            <a:r>
              <a:rPr lang="en-IN" baseline="0"/>
              <a:t> Stock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s>
    <c:plotArea>
      <c:layout/>
      <c:doughnutChart>
        <c:varyColors val="1"/>
        <c:ser>
          <c:idx val="0"/>
          <c:order val="0"/>
          <c:tx>
            <c:strRef>
              <c:f>Sheet1!$CO$5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7B-4E82-8156-634E855B2B56}"/>
              </c:ext>
            </c:extLst>
          </c:dPt>
          <c:cat>
            <c:strRef>
              <c:f>Sheet1!$CN$6:$CN$7</c:f>
              <c:strCache>
                <c:ptCount val="1"/>
                <c:pt idx="0">
                  <c:v>present</c:v>
                </c:pt>
              </c:strCache>
            </c:strRef>
          </c:cat>
          <c:val>
            <c:numRef>
              <c:f>Sheet1!$CO$6:$CO$7</c:f>
              <c:numCache>
                <c:formatCode>General</c:formatCode>
                <c:ptCount val="1"/>
                <c:pt idx="0">
                  <c:v>30</c:v>
                </c:pt>
              </c:numCache>
            </c:numRef>
          </c:val>
          <c:extLst>
            <c:ext xmlns:c16="http://schemas.microsoft.com/office/drawing/2014/chart" uri="{C3380CC4-5D6E-409C-BE32-E72D297353CC}">
              <c16:uniqueId val="{00000002-227B-4E82-8156-634E855B2B5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Reorder</a:t>
            </a:r>
            <a:r>
              <a:rPr lang="en-IN" baseline="0"/>
              <a:t> items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Sheet1!$BX$7</c:f>
              <c:strCache>
                <c:ptCount val="1"/>
                <c:pt idx="0">
                  <c:v>Total</c:v>
                </c:pt>
              </c:strCache>
            </c:strRef>
          </c:tx>
          <c:spPr>
            <a:solidFill>
              <a:schemeClr val="accent1"/>
            </a:solidFill>
            <a:ln>
              <a:noFill/>
            </a:ln>
            <a:effectLst/>
          </c:spPr>
          <c:invertIfNegative val="0"/>
          <c:cat>
            <c:strRef>
              <c:f>Sheet1!$BW$8:$BW$38</c:f>
              <c:strCache>
                <c:ptCount val="30"/>
                <c:pt idx="0">
                  <c:v>Bookshelf</c:v>
                </c:pt>
                <c:pt idx="1">
                  <c:v>Cabinet</c:v>
                </c:pt>
                <c:pt idx="2">
                  <c:v>Calculator</c:v>
                </c:pt>
                <c:pt idx="3">
                  <c:v>Chair</c:v>
                </c:pt>
                <c:pt idx="4">
                  <c:v>Desk</c:v>
                </c:pt>
                <c:pt idx="5">
                  <c:v>Eraser Pack</c:v>
                </c:pt>
                <c:pt idx="6">
                  <c:v>File Folder</c:v>
                </c:pt>
                <c:pt idx="7">
                  <c:v>Hard Disk</c:v>
                </c:pt>
                <c:pt idx="8">
                  <c:v>Headphones</c:v>
                </c:pt>
                <c:pt idx="9">
                  <c:v>Keyboard</c:v>
                </c:pt>
                <c:pt idx="10">
                  <c:v>Lamp</c:v>
                </c:pt>
                <c:pt idx="11">
                  <c:v>Laptop</c:v>
                </c:pt>
                <c:pt idx="12">
                  <c:v>Marker Pack</c:v>
                </c:pt>
                <c:pt idx="13">
                  <c:v>Monitor</c:v>
                </c:pt>
                <c:pt idx="14">
                  <c:v>Mouse</c:v>
                </c:pt>
                <c:pt idx="15">
                  <c:v>Notebook</c:v>
                </c:pt>
                <c:pt idx="16">
                  <c:v>Office Chair</c:v>
                </c:pt>
                <c:pt idx="17">
                  <c:v>Pen Pack</c:v>
                </c:pt>
                <c:pt idx="18">
                  <c:v>Printer</c:v>
                </c:pt>
                <c:pt idx="19">
                  <c:v>Projector</c:v>
                </c:pt>
                <c:pt idx="20">
                  <c:v>Router</c:v>
                </c:pt>
                <c:pt idx="21">
                  <c:v>Scanner</c:v>
                </c:pt>
                <c:pt idx="22">
                  <c:v>Smart TV</c:v>
                </c:pt>
                <c:pt idx="23">
                  <c:v>Sofa</c:v>
                </c:pt>
                <c:pt idx="24">
                  <c:v>Speaker</c:v>
                </c:pt>
                <c:pt idx="25">
                  <c:v>Standing Desk</c:v>
                </c:pt>
                <c:pt idx="26">
                  <c:v>Stapler</c:v>
                </c:pt>
                <c:pt idx="27">
                  <c:v>Tablet</c:v>
                </c:pt>
                <c:pt idx="28">
                  <c:v>Webcam</c:v>
                </c:pt>
                <c:pt idx="29">
                  <c:v>Whiteboard</c:v>
                </c:pt>
              </c:strCache>
            </c:strRef>
          </c:cat>
          <c:val>
            <c:numRef>
              <c:f>Sheet1!$BX$8:$BX$38</c:f>
              <c:numCache>
                <c:formatCode>General</c:formatCode>
                <c:ptCount val="30"/>
                <c:pt idx="0">
                  <c:v>34</c:v>
                </c:pt>
                <c:pt idx="1">
                  <c:v>34</c:v>
                </c:pt>
                <c:pt idx="2">
                  <c:v>34</c:v>
                </c:pt>
                <c:pt idx="3">
                  <c:v>34</c:v>
                </c:pt>
                <c:pt idx="4">
                  <c:v>34</c:v>
                </c:pt>
                <c:pt idx="5">
                  <c:v>34</c:v>
                </c:pt>
                <c:pt idx="6">
                  <c:v>34</c:v>
                </c:pt>
                <c:pt idx="7">
                  <c:v>34</c:v>
                </c:pt>
                <c:pt idx="8">
                  <c:v>34</c:v>
                </c:pt>
                <c:pt idx="9">
                  <c:v>34</c:v>
                </c:pt>
                <c:pt idx="10">
                  <c:v>34</c:v>
                </c:pt>
                <c:pt idx="11">
                  <c:v>34</c:v>
                </c:pt>
                <c:pt idx="12">
                  <c:v>34</c:v>
                </c:pt>
                <c:pt idx="13">
                  <c:v>34</c:v>
                </c:pt>
                <c:pt idx="14">
                  <c:v>34</c:v>
                </c:pt>
                <c:pt idx="15">
                  <c:v>34</c:v>
                </c:pt>
                <c:pt idx="16">
                  <c:v>34</c:v>
                </c:pt>
                <c:pt idx="17">
                  <c:v>34</c:v>
                </c:pt>
                <c:pt idx="18">
                  <c:v>34</c:v>
                </c:pt>
                <c:pt idx="19">
                  <c:v>34</c:v>
                </c:pt>
                <c:pt idx="20">
                  <c:v>34</c:v>
                </c:pt>
                <c:pt idx="21">
                  <c:v>34</c:v>
                </c:pt>
                <c:pt idx="22">
                  <c:v>34</c:v>
                </c:pt>
                <c:pt idx="23">
                  <c:v>34</c:v>
                </c:pt>
                <c:pt idx="24">
                  <c:v>34</c:v>
                </c:pt>
                <c:pt idx="25">
                  <c:v>34</c:v>
                </c:pt>
                <c:pt idx="26">
                  <c:v>34</c:v>
                </c:pt>
                <c:pt idx="27">
                  <c:v>34</c:v>
                </c:pt>
                <c:pt idx="28">
                  <c:v>34</c:v>
                </c:pt>
                <c:pt idx="29">
                  <c:v>34</c:v>
                </c:pt>
              </c:numCache>
            </c:numRef>
          </c:val>
          <c:extLst>
            <c:ext xmlns:c16="http://schemas.microsoft.com/office/drawing/2014/chart" uri="{C3380CC4-5D6E-409C-BE32-E72D297353CC}">
              <c16:uniqueId val="{00000000-CFEB-4459-B233-5550C8EA179D}"/>
            </c:ext>
          </c:extLst>
        </c:ser>
        <c:dLbls>
          <c:showLegendKey val="0"/>
          <c:showVal val="0"/>
          <c:showCatName val="0"/>
          <c:showSerName val="0"/>
          <c:showPercent val="0"/>
          <c:showBubbleSize val="0"/>
        </c:dLbls>
        <c:gapWidth val="182"/>
        <c:axId val="267008047"/>
        <c:axId val="267013327"/>
      </c:barChart>
      <c:catAx>
        <c:axId val="267008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13327"/>
        <c:crosses val="autoZero"/>
        <c:auto val="1"/>
        <c:lblAlgn val="ctr"/>
        <c:lblOffset val="100"/>
        <c:noMultiLvlLbl val="0"/>
      </c:catAx>
      <c:valAx>
        <c:axId val="267013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0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Future</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Sheet3!$B$1</c:f>
              <c:strCache>
                <c:ptCount val="1"/>
                <c:pt idx="0">
                  <c:v>Sum of Sales</c:v>
                </c:pt>
              </c:strCache>
            </c:strRef>
          </c:tx>
          <c:spPr>
            <a:ln w="28575" cap="rnd">
              <a:solidFill>
                <a:schemeClr val="accent1"/>
              </a:solidFill>
              <a:round/>
            </a:ln>
            <a:effectLst/>
          </c:spPr>
          <c:marker>
            <c:symbol val="none"/>
          </c:marker>
          <c:val>
            <c:numRef>
              <c:f>Sheet3!$B$2:$B$16</c:f>
              <c:numCache>
                <c:formatCode>General</c:formatCode>
                <c:ptCount val="15"/>
                <c:pt idx="0">
                  <c:v>377600</c:v>
                </c:pt>
                <c:pt idx="1">
                  <c:v>377600</c:v>
                </c:pt>
                <c:pt idx="2">
                  <c:v>377600</c:v>
                </c:pt>
                <c:pt idx="3">
                  <c:v>377600</c:v>
                </c:pt>
                <c:pt idx="4">
                  <c:v>377600</c:v>
                </c:pt>
                <c:pt idx="5">
                  <c:v>377600</c:v>
                </c:pt>
                <c:pt idx="6">
                  <c:v>377600</c:v>
                </c:pt>
                <c:pt idx="7">
                  <c:v>377600</c:v>
                </c:pt>
                <c:pt idx="8">
                  <c:v>377600</c:v>
                </c:pt>
                <c:pt idx="9">
                  <c:v>377600</c:v>
                </c:pt>
                <c:pt idx="10">
                  <c:v>377600</c:v>
                </c:pt>
                <c:pt idx="11">
                  <c:v>377600</c:v>
                </c:pt>
              </c:numCache>
            </c:numRef>
          </c:val>
          <c:smooth val="0"/>
          <c:extLst>
            <c:ext xmlns:c16="http://schemas.microsoft.com/office/drawing/2014/chart" uri="{C3380CC4-5D6E-409C-BE32-E72D297353CC}">
              <c16:uniqueId val="{00000000-599B-492B-905A-3D60B04660C7}"/>
            </c:ext>
          </c:extLst>
        </c:ser>
        <c:ser>
          <c:idx val="1"/>
          <c:order val="1"/>
          <c:tx>
            <c:strRef>
              <c:f>Sheet3!$C$1</c:f>
              <c:strCache>
                <c:ptCount val="1"/>
                <c:pt idx="0">
                  <c:v>Forecast(Sum of Sales)</c:v>
                </c:pt>
              </c:strCache>
            </c:strRef>
          </c:tx>
          <c:spPr>
            <a:ln w="28575" cap="rnd">
              <a:solidFill>
                <a:schemeClr val="accent3"/>
              </a:solidFill>
              <a:round/>
            </a:ln>
            <a:effectLst/>
          </c:spPr>
          <c:marker>
            <c:symbol val="none"/>
          </c:marker>
          <c:cat>
            <c:numRef>
              <c:f>Sheet3!$A$2:$A$16</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f>Sheet3!$C$2:$C$16</c:f>
              <c:numCache>
                <c:formatCode>General</c:formatCode>
                <c:ptCount val="15"/>
                <c:pt idx="11">
                  <c:v>377600</c:v>
                </c:pt>
                <c:pt idx="12">
                  <c:v>377600</c:v>
                </c:pt>
                <c:pt idx="13">
                  <c:v>377600</c:v>
                </c:pt>
                <c:pt idx="14">
                  <c:v>377600</c:v>
                </c:pt>
              </c:numCache>
            </c:numRef>
          </c:val>
          <c:smooth val="0"/>
          <c:extLst>
            <c:ext xmlns:c16="http://schemas.microsoft.com/office/drawing/2014/chart" uri="{C3380CC4-5D6E-409C-BE32-E72D297353CC}">
              <c16:uniqueId val="{00000001-599B-492B-905A-3D60B04660C7}"/>
            </c:ext>
          </c:extLst>
        </c:ser>
        <c:ser>
          <c:idx val="2"/>
          <c:order val="2"/>
          <c:tx>
            <c:strRef>
              <c:f>Sheet3!$D$1</c:f>
              <c:strCache>
                <c:ptCount val="1"/>
                <c:pt idx="0">
                  <c:v>Lower Confidence Bound(Sum of Sales)</c:v>
                </c:pt>
              </c:strCache>
            </c:strRef>
          </c:tx>
          <c:spPr>
            <a:ln w="28575" cap="rnd">
              <a:solidFill>
                <a:schemeClr val="accent5"/>
              </a:solidFill>
              <a:round/>
            </a:ln>
            <a:effectLst/>
          </c:spPr>
          <c:marker>
            <c:symbol val="none"/>
          </c:marker>
          <c:cat>
            <c:numRef>
              <c:f>Sheet3!$A$2:$A$16</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f>Sheet3!$D$2:$D$16</c:f>
              <c:numCache>
                <c:formatCode>General</c:formatCode>
                <c:ptCount val="15"/>
                <c:pt idx="11" formatCode="0.00">
                  <c:v>377600</c:v>
                </c:pt>
                <c:pt idx="12" formatCode="0.00">
                  <c:v>377600</c:v>
                </c:pt>
                <c:pt idx="13" formatCode="0.00">
                  <c:v>377600</c:v>
                </c:pt>
                <c:pt idx="14" formatCode="0.00">
                  <c:v>377600</c:v>
                </c:pt>
              </c:numCache>
            </c:numRef>
          </c:val>
          <c:smooth val="0"/>
          <c:extLst>
            <c:ext xmlns:c16="http://schemas.microsoft.com/office/drawing/2014/chart" uri="{C3380CC4-5D6E-409C-BE32-E72D297353CC}">
              <c16:uniqueId val="{00000002-599B-492B-905A-3D60B04660C7}"/>
            </c:ext>
          </c:extLst>
        </c:ser>
        <c:ser>
          <c:idx val="3"/>
          <c:order val="3"/>
          <c:tx>
            <c:strRef>
              <c:f>Sheet3!$E$1</c:f>
              <c:strCache>
                <c:ptCount val="1"/>
                <c:pt idx="0">
                  <c:v>Upper Confidence Bound(Sum of Sales)</c:v>
                </c:pt>
              </c:strCache>
            </c:strRef>
          </c:tx>
          <c:spPr>
            <a:ln w="28575" cap="rnd">
              <a:solidFill>
                <a:schemeClr val="accent1">
                  <a:lumMod val="60000"/>
                </a:schemeClr>
              </a:solidFill>
              <a:round/>
            </a:ln>
            <a:effectLst/>
          </c:spPr>
          <c:marker>
            <c:symbol val="none"/>
          </c:marker>
          <c:cat>
            <c:numRef>
              <c:f>Sheet3!$A$2:$A$16</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f>Sheet3!$E$2:$E$16</c:f>
              <c:numCache>
                <c:formatCode>General</c:formatCode>
                <c:ptCount val="15"/>
                <c:pt idx="11" formatCode="0.00">
                  <c:v>377600</c:v>
                </c:pt>
                <c:pt idx="12" formatCode="0.00">
                  <c:v>377600</c:v>
                </c:pt>
                <c:pt idx="13" formatCode="0.00">
                  <c:v>377600</c:v>
                </c:pt>
                <c:pt idx="14" formatCode="0.00">
                  <c:v>377600</c:v>
                </c:pt>
              </c:numCache>
            </c:numRef>
          </c:val>
          <c:smooth val="0"/>
          <c:extLst>
            <c:ext xmlns:c16="http://schemas.microsoft.com/office/drawing/2014/chart" uri="{C3380CC4-5D6E-409C-BE32-E72D297353CC}">
              <c16:uniqueId val="{00000003-599B-492B-905A-3D60B04660C7}"/>
            </c:ext>
          </c:extLst>
        </c:ser>
        <c:dLbls>
          <c:showLegendKey val="0"/>
          <c:showVal val="0"/>
          <c:showCatName val="0"/>
          <c:showSerName val="0"/>
          <c:showPercent val="0"/>
          <c:showBubbleSize val="0"/>
        </c:dLbls>
        <c:smooth val="0"/>
        <c:axId val="276689151"/>
        <c:axId val="240784079"/>
      </c:lineChart>
      <c:catAx>
        <c:axId val="27668915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784079"/>
        <c:crosses val="autoZero"/>
        <c:auto val="1"/>
        <c:lblAlgn val="ctr"/>
        <c:lblOffset val="100"/>
        <c:noMultiLvlLbl val="0"/>
      </c:catAx>
      <c:valAx>
        <c:axId val="24078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689151"/>
        <c:crosses val="autoZero"/>
        <c:crossBetween val="between"/>
      </c:valAx>
      <c:spPr>
        <a:noFill/>
        <a:ln>
          <a:noFill/>
        </a:ln>
        <a:effectLst/>
      </c:spPr>
    </c:plotArea>
    <c:legend>
      <c:legendPos val="b"/>
      <c:layout>
        <c:manualLayout>
          <c:xMode val="edge"/>
          <c:yMode val="edge"/>
          <c:x val="0.16893619932579518"/>
          <c:y val="0.61538192988337448"/>
          <c:w val="0.78061070269059973"/>
          <c:h val="0.149575236210056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[project_1(major).xlsx]Sheet1!PivotTable15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Demand</a:t>
            </a:r>
            <a:r>
              <a:rPr lang="en-IN" baseline="0"/>
              <a:t> Forecast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Sheet1!$DC$7:$DC$9</c:f>
              <c:strCache>
                <c:ptCount val="1"/>
                <c:pt idx="0">
                  <c:v>Jan</c:v>
                </c:pt>
              </c:strCache>
            </c:strRef>
          </c:tx>
          <c:spPr>
            <a:ln w="28575" cap="rnd">
              <a:solidFill>
                <a:schemeClr val="accent1"/>
              </a:solidFill>
              <a:round/>
            </a:ln>
            <a:effectLst/>
          </c:spPr>
          <c:marker>
            <c:symbol val="none"/>
          </c:marker>
          <c:cat>
            <c:strRef>
              <c:f>Sheet1!$DB$10:$DB$40</c:f>
              <c:strCache>
                <c:ptCount val="30"/>
                <c:pt idx="0">
                  <c:v>Bookshelf</c:v>
                </c:pt>
                <c:pt idx="1">
                  <c:v>Cabinet</c:v>
                </c:pt>
                <c:pt idx="2">
                  <c:v>Calculator</c:v>
                </c:pt>
                <c:pt idx="3">
                  <c:v>Chair</c:v>
                </c:pt>
                <c:pt idx="4">
                  <c:v>Desk</c:v>
                </c:pt>
                <c:pt idx="5">
                  <c:v>Eraser Pack</c:v>
                </c:pt>
                <c:pt idx="6">
                  <c:v>File Folder</c:v>
                </c:pt>
                <c:pt idx="7">
                  <c:v>Hard Disk</c:v>
                </c:pt>
                <c:pt idx="8">
                  <c:v>Headphones</c:v>
                </c:pt>
                <c:pt idx="9">
                  <c:v>Keyboard</c:v>
                </c:pt>
                <c:pt idx="10">
                  <c:v>Lamp</c:v>
                </c:pt>
                <c:pt idx="11">
                  <c:v>Laptop</c:v>
                </c:pt>
                <c:pt idx="12">
                  <c:v>Marker Pack</c:v>
                </c:pt>
                <c:pt idx="13">
                  <c:v>Monitor</c:v>
                </c:pt>
                <c:pt idx="14">
                  <c:v>Mouse</c:v>
                </c:pt>
                <c:pt idx="15">
                  <c:v>Notebook</c:v>
                </c:pt>
                <c:pt idx="16">
                  <c:v>Office Chair</c:v>
                </c:pt>
                <c:pt idx="17">
                  <c:v>Pen Pack</c:v>
                </c:pt>
                <c:pt idx="18">
                  <c:v>Printer</c:v>
                </c:pt>
                <c:pt idx="19">
                  <c:v>Projector</c:v>
                </c:pt>
                <c:pt idx="20">
                  <c:v>Router</c:v>
                </c:pt>
                <c:pt idx="21">
                  <c:v>Scanner</c:v>
                </c:pt>
                <c:pt idx="22">
                  <c:v>Smart TV</c:v>
                </c:pt>
                <c:pt idx="23">
                  <c:v>Sofa</c:v>
                </c:pt>
                <c:pt idx="24">
                  <c:v>Speaker</c:v>
                </c:pt>
                <c:pt idx="25">
                  <c:v>Standing Desk</c:v>
                </c:pt>
                <c:pt idx="26">
                  <c:v>Stapler</c:v>
                </c:pt>
                <c:pt idx="27">
                  <c:v>Tablet</c:v>
                </c:pt>
                <c:pt idx="28">
                  <c:v>Webcam</c:v>
                </c:pt>
                <c:pt idx="29">
                  <c:v>Whiteboard</c:v>
                </c:pt>
              </c:strCache>
            </c:strRef>
          </c:cat>
          <c:val>
            <c:numRef>
              <c:f>Sheet1!$DC$10:$DC$40</c:f>
              <c:numCache>
                <c:formatCode>General</c:formatCode>
                <c:ptCount val="30"/>
                <c:pt idx="5">
                  <c:v>2000</c:v>
                </c:pt>
                <c:pt idx="6">
                  <c:v>1800</c:v>
                </c:pt>
                <c:pt idx="7">
                  <c:v>12000</c:v>
                </c:pt>
                <c:pt idx="9">
                  <c:v>7500</c:v>
                </c:pt>
                <c:pt idx="11">
                  <c:v>50000</c:v>
                </c:pt>
                <c:pt idx="12">
                  <c:v>4500</c:v>
                </c:pt>
                <c:pt idx="13">
                  <c:v>28000</c:v>
                </c:pt>
                <c:pt idx="14">
                  <c:v>2400</c:v>
                </c:pt>
                <c:pt idx="16">
                  <c:v>8000</c:v>
                </c:pt>
                <c:pt idx="18">
                  <c:v>18000</c:v>
                </c:pt>
                <c:pt idx="19">
                  <c:v>38000</c:v>
                </c:pt>
                <c:pt idx="20">
                  <c:v>6000</c:v>
                </c:pt>
                <c:pt idx="22">
                  <c:v>45000</c:v>
                </c:pt>
                <c:pt idx="24">
                  <c:v>7000</c:v>
                </c:pt>
                <c:pt idx="25">
                  <c:v>15000</c:v>
                </c:pt>
                <c:pt idx="26">
                  <c:v>2500</c:v>
                </c:pt>
              </c:numCache>
            </c:numRef>
          </c:val>
          <c:smooth val="0"/>
          <c:extLst>
            <c:ext xmlns:c16="http://schemas.microsoft.com/office/drawing/2014/chart" uri="{C3380CC4-5D6E-409C-BE32-E72D297353CC}">
              <c16:uniqueId val="{00000001-57C9-4B84-948C-E952E889EDB3}"/>
            </c:ext>
          </c:extLst>
        </c:ser>
        <c:ser>
          <c:idx val="1"/>
          <c:order val="1"/>
          <c:tx>
            <c:strRef>
              <c:f>Sheet1!$DD$7:$DD$9</c:f>
              <c:strCache>
                <c:ptCount val="1"/>
                <c:pt idx="0">
                  <c:v>Feb</c:v>
                </c:pt>
              </c:strCache>
            </c:strRef>
          </c:tx>
          <c:spPr>
            <a:ln w="28575" cap="rnd">
              <a:solidFill>
                <a:schemeClr val="accent2"/>
              </a:solidFill>
              <a:round/>
            </a:ln>
            <a:effectLst/>
          </c:spPr>
          <c:marker>
            <c:symbol val="none"/>
          </c:marker>
          <c:cat>
            <c:strRef>
              <c:f>Sheet1!$DB$10:$DB$40</c:f>
              <c:strCache>
                <c:ptCount val="30"/>
                <c:pt idx="0">
                  <c:v>Bookshelf</c:v>
                </c:pt>
                <c:pt idx="1">
                  <c:v>Cabinet</c:v>
                </c:pt>
                <c:pt idx="2">
                  <c:v>Calculator</c:v>
                </c:pt>
                <c:pt idx="3">
                  <c:v>Chair</c:v>
                </c:pt>
                <c:pt idx="4">
                  <c:v>Desk</c:v>
                </c:pt>
                <c:pt idx="5">
                  <c:v>Eraser Pack</c:v>
                </c:pt>
                <c:pt idx="6">
                  <c:v>File Folder</c:v>
                </c:pt>
                <c:pt idx="7">
                  <c:v>Hard Disk</c:v>
                </c:pt>
                <c:pt idx="8">
                  <c:v>Headphones</c:v>
                </c:pt>
                <c:pt idx="9">
                  <c:v>Keyboard</c:v>
                </c:pt>
                <c:pt idx="10">
                  <c:v>Lamp</c:v>
                </c:pt>
                <c:pt idx="11">
                  <c:v>Laptop</c:v>
                </c:pt>
                <c:pt idx="12">
                  <c:v>Marker Pack</c:v>
                </c:pt>
                <c:pt idx="13">
                  <c:v>Monitor</c:v>
                </c:pt>
                <c:pt idx="14">
                  <c:v>Mouse</c:v>
                </c:pt>
                <c:pt idx="15">
                  <c:v>Notebook</c:v>
                </c:pt>
                <c:pt idx="16">
                  <c:v>Office Chair</c:v>
                </c:pt>
                <c:pt idx="17">
                  <c:v>Pen Pack</c:v>
                </c:pt>
                <c:pt idx="18">
                  <c:v>Printer</c:v>
                </c:pt>
                <c:pt idx="19">
                  <c:v>Projector</c:v>
                </c:pt>
                <c:pt idx="20">
                  <c:v>Router</c:v>
                </c:pt>
                <c:pt idx="21">
                  <c:v>Scanner</c:v>
                </c:pt>
                <c:pt idx="22">
                  <c:v>Smart TV</c:v>
                </c:pt>
                <c:pt idx="23">
                  <c:v>Sofa</c:v>
                </c:pt>
                <c:pt idx="24">
                  <c:v>Speaker</c:v>
                </c:pt>
                <c:pt idx="25">
                  <c:v>Standing Desk</c:v>
                </c:pt>
                <c:pt idx="26">
                  <c:v>Stapler</c:v>
                </c:pt>
                <c:pt idx="27">
                  <c:v>Tablet</c:v>
                </c:pt>
                <c:pt idx="28">
                  <c:v>Webcam</c:v>
                </c:pt>
                <c:pt idx="29">
                  <c:v>Whiteboard</c:v>
                </c:pt>
              </c:strCache>
            </c:strRef>
          </c:cat>
          <c:val>
            <c:numRef>
              <c:f>Sheet1!$DD$10:$DD$40</c:f>
              <c:numCache>
                <c:formatCode>General</c:formatCode>
                <c:ptCount val="30"/>
                <c:pt idx="3">
                  <c:v>9000</c:v>
                </c:pt>
                <c:pt idx="4">
                  <c:v>12000</c:v>
                </c:pt>
              </c:numCache>
            </c:numRef>
          </c:val>
          <c:smooth val="0"/>
          <c:extLst>
            <c:ext xmlns:c16="http://schemas.microsoft.com/office/drawing/2014/chart" uri="{C3380CC4-5D6E-409C-BE32-E72D297353CC}">
              <c16:uniqueId val="{0000000D-57C9-4B84-948C-E952E889EDB3}"/>
            </c:ext>
          </c:extLst>
        </c:ser>
        <c:ser>
          <c:idx val="2"/>
          <c:order val="2"/>
          <c:tx>
            <c:strRef>
              <c:f>Sheet1!$DE$7:$DE$9</c:f>
              <c:strCache>
                <c:ptCount val="1"/>
                <c:pt idx="0">
                  <c:v>Mar</c:v>
                </c:pt>
              </c:strCache>
            </c:strRef>
          </c:tx>
          <c:spPr>
            <a:ln w="28575" cap="rnd">
              <a:solidFill>
                <a:schemeClr val="accent3"/>
              </a:solidFill>
              <a:round/>
            </a:ln>
            <a:effectLst/>
          </c:spPr>
          <c:marker>
            <c:symbol val="none"/>
          </c:marker>
          <c:cat>
            <c:strRef>
              <c:f>Sheet1!$DB$10:$DB$40</c:f>
              <c:strCache>
                <c:ptCount val="30"/>
                <c:pt idx="0">
                  <c:v>Bookshelf</c:v>
                </c:pt>
                <c:pt idx="1">
                  <c:v>Cabinet</c:v>
                </c:pt>
                <c:pt idx="2">
                  <c:v>Calculator</c:v>
                </c:pt>
                <c:pt idx="3">
                  <c:v>Chair</c:v>
                </c:pt>
                <c:pt idx="4">
                  <c:v>Desk</c:v>
                </c:pt>
                <c:pt idx="5">
                  <c:v>Eraser Pack</c:v>
                </c:pt>
                <c:pt idx="6">
                  <c:v>File Folder</c:v>
                </c:pt>
                <c:pt idx="7">
                  <c:v>Hard Disk</c:v>
                </c:pt>
                <c:pt idx="8">
                  <c:v>Headphones</c:v>
                </c:pt>
                <c:pt idx="9">
                  <c:v>Keyboard</c:v>
                </c:pt>
                <c:pt idx="10">
                  <c:v>Lamp</c:v>
                </c:pt>
                <c:pt idx="11">
                  <c:v>Laptop</c:v>
                </c:pt>
                <c:pt idx="12">
                  <c:v>Marker Pack</c:v>
                </c:pt>
                <c:pt idx="13">
                  <c:v>Monitor</c:v>
                </c:pt>
                <c:pt idx="14">
                  <c:v>Mouse</c:v>
                </c:pt>
                <c:pt idx="15">
                  <c:v>Notebook</c:v>
                </c:pt>
                <c:pt idx="16">
                  <c:v>Office Chair</c:v>
                </c:pt>
                <c:pt idx="17">
                  <c:v>Pen Pack</c:v>
                </c:pt>
                <c:pt idx="18">
                  <c:v>Printer</c:v>
                </c:pt>
                <c:pt idx="19">
                  <c:v>Projector</c:v>
                </c:pt>
                <c:pt idx="20">
                  <c:v>Router</c:v>
                </c:pt>
                <c:pt idx="21">
                  <c:v>Scanner</c:v>
                </c:pt>
                <c:pt idx="22">
                  <c:v>Smart TV</c:v>
                </c:pt>
                <c:pt idx="23">
                  <c:v>Sofa</c:v>
                </c:pt>
                <c:pt idx="24">
                  <c:v>Speaker</c:v>
                </c:pt>
                <c:pt idx="25">
                  <c:v>Standing Desk</c:v>
                </c:pt>
                <c:pt idx="26">
                  <c:v>Stapler</c:v>
                </c:pt>
                <c:pt idx="27">
                  <c:v>Tablet</c:v>
                </c:pt>
                <c:pt idx="28">
                  <c:v>Webcam</c:v>
                </c:pt>
                <c:pt idx="29">
                  <c:v>Whiteboard</c:v>
                </c:pt>
              </c:strCache>
            </c:strRef>
          </c:cat>
          <c:val>
            <c:numRef>
              <c:f>Sheet1!$DE$10:$DE$40</c:f>
              <c:numCache>
                <c:formatCode>General</c:formatCode>
                <c:ptCount val="30"/>
                <c:pt idx="0">
                  <c:v>6000</c:v>
                </c:pt>
                <c:pt idx="15">
                  <c:v>1500</c:v>
                </c:pt>
                <c:pt idx="29">
                  <c:v>7000</c:v>
                </c:pt>
              </c:numCache>
            </c:numRef>
          </c:val>
          <c:smooth val="0"/>
          <c:extLst>
            <c:ext xmlns:c16="http://schemas.microsoft.com/office/drawing/2014/chart" uri="{C3380CC4-5D6E-409C-BE32-E72D297353CC}">
              <c16:uniqueId val="{0000000E-57C9-4B84-948C-E952E889EDB3}"/>
            </c:ext>
          </c:extLst>
        </c:ser>
        <c:ser>
          <c:idx val="3"/>
          <c:order val="3"/>
          <c:tx>
            <c:strRef>
              <c:f>Sheet1!$DF$7:$DF$9</c:f>
              <c:strCache>
                <c:ptCount val="1"/>
                <c:pt idx="0">
                  <c:v>Apr</c:v>
                </c:pt>
              </c:strCache>
            </c:strRef>
          </c:tx>
          <c:spPr>
            <a:ln w="28575" cap="rnd">
              <a:solidFill>
                <a:schemeClr val="accent4"/>
              </a:solidFill>
              <a:round/>
            </a:ln>
            <a:effectLst/>
          </c:spPr>
          <c:marker>
            <c:symbol val="none"/>
          </c:marker>
          <c:cat>
            <c:strRef>
              <c:f>Sheet1!$DB$10:$DB$40</c:f>
              <c:strCache>
                <c:ptCount val="30"/>
                <c:pt idx="0">
                  <c:v>Bookshelf</c:v>
                </c:pt>
                <c:pt idx="1">
                  <c:v>Cabinet</c:v>
                </c:pt>
                <c:pt idx="2">
                  <c:v>Calculator</c:v>
                </c:pt>
                <c:pt idx="3">
                  <c:v>Chair</c:v>
                </c:pt>
                <c:pt idx="4">
                  <c:v>Desk</c:v>
                </c:pt>
                <c:pt idx="5">
                  <c:v>Eraser Pack</c:v>
                </c:pt>
                <c:pt idx="6">
                  <c:v>File Folder</c:v>
                </c:pt>
                <c:pt idx="7">
                  <c:v>Hard Disk</c:v>
                </c:pt>
                <c:pt idx="8">
                  <c:v>Headphones</c:v>
                </c:pt>
                <c:pt idx="9">
                  <c:v>Keyboard</c:v>
                </c:pt>
                <c:pt idx="10">
                  <c:v>Lamp</c:v>
                </c:pt>
                <c:pt idx="11">
                  <c:v>Laptop</c:v>
                </c:pt>
                <c:pt idx="12">
                  <c:v>Marker Pack</c:v>
                </c:pt>
                <c:pt idx="13">
                  <c:v>Monitor</c:v>
                </c:pt>
                <c:pt idx="14">
                  <c:v>Mouse</c:v>
                </c:pt>
                <c:pt idx="15">
                  <c:v>Notebook</c:v>
                </c:pt>
                <c:pt idx="16">
                  <c:v>Office Chair</c:v>
                </c:pt>
                <c:pt idx="17">
                  <c:v>Pen Pack</c:v>
                </c:pt>
                <c:pt idx="18">
                  <c:v>Printer</c:v>
                </c:pt>
                <c:pt idx="19">
                  <c:v>Projector</c:v>
                </c:pt>
                <c:pt idx="20">
                  <c:v>Router</c:v>
                </c:pt>
                <c:pt idx="21">
                  <c:v>Scanner</c:v>
                </c:pt>
                <c:pt idx="22">
                  <c:v>Smart TV</c:v>
                </c:pt>
                <c:pt idx="23">
                  <c:v>Sofa</c:v>
                </c:pt>
                <c:pt idx="24">
                  <c:v>Speaker</c:v>
                </c:pt>
                <c:pt idx="25">
                  <c:v>Standing Desk</c:v>
                </c:pt>
                <c:pt idx="26">
                  <c:v>Stapler</c:v>
                </c:pt>
                <c:pt idx="27">
                  <c:v>Tablet</c:v>
                </c:pt>
                <c:pt idx="28">
                  <c:v>Webcam</c:v>
                </c:pt>
                <c:pt idx="29">
                  <c:v>Whiteboard</c:v>
                </c:pt>
              </c:strCache>
            </c:strRef>
          </c:cat>
          <c:val>
            <c:numRef>
              <c:f>Sheet1!$DF$10:$DF$40</c:f>
              <c:numCache>
                <c:formatCode>General</c:formatCode>
                <c:ptCount val="30"/>
                <c:pt idx="2">
                  <c:v>3200</c:v>
                </c:pt>
                <c:pt idx="17">
                  <c:v>1200</c:v>
                </c:pt>
                <c:pt idx="21">
                  <c:v>10000</c:v>
                </c:pt>
              </c:numCache>
            </c:numRef>
          </c:val>
          <c:smooth val="0"/>
          <c:extLst>
            <c:ext xmlns:c16="http://schemas.microsoft.com/office/drawing/2014/chart" uri="{C3380CC4-5D6E-409C-BE32-E72D297353CC}">
              <c16:uniqueId val="{0000000F-57C9-4B84-948C-E952E889EDB3}"/>
            </c:ext>
          </c:extLst>
        </c:ser>
        <c:ser>
          <c:idx val="4"/>
          <c:order val="4"/>
          <c:tx>
            <c:strRef>
              <c:f>Sheet1!$DG$7:$DG$9</c:f>
              <c:strCache>
                <c:ptCount val="1"/>
                <c:pt idx="0">
                  <c:v>May</c:v>
                </c:pt>
              </c:strCache>
            </c:strRef>
          </c:tx>
          <c:spPr>
            <a:ln w="28575" cap="rnd">
              <a:solidFill>
                <a:schemeClr val="accent5"/>
              </a:solidFill>
              <a:round/>
            </a:ln>
            <a:effectLst/>
          </c:spPr>
          <c:marker>
            <c:symbol val="none"/>
          </c:marker>
          <c:cat>
            <c:strRef>
              <c:f>Sheet1!$DB$10:$DB$40</c:f>
              <c:strCache>
                <c:ptCount val="30"/>
                <c:pt idx="0">
                  <c:v>Bookshelf</c:v>
                </c:pt>
                <c:pt idx="1">
                  <c:v>Cabinet</c:v>
                </c:pt>
                <c:pt idx="2">
                  <c:v>Calculator</c:v>
                </c:pt>
                <c:pt idx="3">
                  <c:v>Chair</c:v>
                </c:pt>
                <c:pt idx="4">
                  <c:v>Desk</c:v>
                </c:pt>
                <c:pt idx="5">
                  <c:v>Eraser Pack</c:v>
                </c:pt>
                <c:pt idx="6">
                  <c:v>File Folder</c:v>
                </c:pt>
                <c:pt idx="7">
                  <c:v>Hard Disk</c:v>
                </c:pt>
                <c:pt idx="8">
                  <c:v>Headphones</c:v>
                </c:pt>
                <c:pt idx="9">
                  <c:v>Keyboard</c:v>
                </c:pt>
                <c:pt idx="10">
                  <c:v>Lamp</c:v>
                </c:pt>
                <c:pt idx="11">
                  <c:v>Laptop</c:v>
                </c:pt>
                <c:pt idx="12">
                  <c:v>Marker Pack</c:v>
                </c:pt>
                <c:pt idx="13">
                  <c:v>Monitor</c:v>
                </c:pt>
                <c:pt idx="14">
                  <c:v>Mouse</c:v>
                </c:pt>
                <c:pt idx="15">
                  <c:v>Notebook</c:v>
                </c:pt>
                <c:pt idx="16">
                  <c:v>Office Chair</c:v>
                </c:pt>
                <c:pt idx="17">
                  <c:v>Pen Pack</c:v>
                </c:pt>
                <c:pt idx="18">
                  <c:v>Printer</c:v>
                </c:pt>
                <c:pt idx="19">
                  <c:v>Projector</c:v>
                </c:pt>
                <c:pt idx="20">
                  <c:v>Router</c:v>
                </c:pt>
                <c:pt idx="21">
                  <c:v>Scanner</c:v>
                </c:pt>
                <c:pt idx="22">
                  <c:v>Smart TV</c:v>
                </c:pt>
                <c:pt idx="23">
                  <c:v>Sofa</c:v>
                </c:pt>
                <c:pt idx="24">
                  <c:v>Speaker</c:v>
                </c:pt>
                <c:pt idx="25">
                  <c:v>Standing Desk</c:v>
                </c:pt>
                <c:pt idx="26">
                  <c:v>Stapler</c:v>
                </c:pt>
                <c:pt idx="27">
                  <c:v>Tablet</c:v>
                </c:pt>
                <c:pt idx="28">
                  <c:v>Webcam</c:v>
                </c:pt>
                <c:pt idx="29">
                  <c:v>Whiteboard</c:v>
                </c:pt>
              </c:strCache>
            </c:strRef>
          </c:cat>
          <c:val>
            <c:numRef>
              <c:f>Sheet1!$DG$10:$DG$40</c:f>
              <c:numCache>
                <c:formatCode>General</c:formatCode>
                <c:ptCount val="30"/>
                <c:pt idx="8">
                  <c:v>6000</c:v>
                </c:pt>
                <c:pt idx="23">
                  <c:v>32000</c:v>
                </c:pt>
                <c:pt idx="27">
                  <c:v>22000</c:v>
                </c:pt>
                <c:pt idx="28">
                  <c:v>5000</c:v>
                </c:pt>
              </c:numCache>
            </c:numRef>
          </c:val>
          <c:smooth val="0"/>
          <c:extLst>
            <c:ext xmlns:c16="http://schemas.microsoft.com/office/drawing/2014/chart" uri="{C3380CC4-5D6E-409C-BE32-E72D297353CC}">
              <c16:uniqueId val="{00000010-57C9-4B84-948C-E952E889EDB3}"/>
            </c:ext>
          </c:extLst>
        </c:ser>
        <c:ser>
          <c:idx val="5"/>
          <c:order val="5"/>
          <c:tx>
            <c:strRef>
              <c:f>Sheet1!$DH$7:$DH$9</c:f>
              <c:strCache>
                <c:ptCount val="1"/>
                <c:pt idx="0">
                  <c:v>Jun</c:v>
                </c:pt>
              </c:strCache>
            </c:strRef>
          </c:tx>
          <c:spPr>
            <a:ln w="28575" cap="rnd">
              <a:solidFill>
                <a:schemeClr val="accent6"/>
              </a:solidFill>
              <a:round/>
            </a:ln>
            <a:effectLst/>
          </c:spPr>
          <c:marker>
            <c:symbol val="none"/>
          </c:marker>
          <c:cat>
            <c:strRef>
              <c:f>Sheet1!$DB$10:$DB$40</c:f>
              <c:strCache>
                <c:ptCount val="30"/>
                <c:pt idx="0">
                  <c:v>Bookshelf</c:v>
                </c:pt>
                <c:pt idx="1">
                  <c:v>Cabinet</c:v>
                </c:pt>
                <c:pt idx="2">
                  <c:v>Calculator</c:v>
                </c:pt>
                <c:pt idx="3">
                  <c:v>Chair</c:v>
                </c:pt>
                <c:pt idx="4">
                  <c:v>Desk</c:v>
                </c:pt>
                <c:pt idx="5">
                  <c:v>Eraser Pack</c:v>
                </c:pt>
                <c:pt idx="6">
                  <c:v>File Folder</c:v>
                </c:pt>
                <c:pt idx="7">
                  <c:v>Hard Disk</c:v>
                </c:pt>
                <c:pt idx="8">
                  <c:v>Headphones</c:v>
                </c:pt>
                <c:pt idx="9">
                  <c:v>Keyboard</c:v>
                </c:pt>
                <c:pt idx="10">
                  <c:v>Lamp</c:v>
                </c:pt>
                <c:pt idx="11">
                  <c:v>Laptop</c:v>
                </c:pt>
                <c:pt idx="12">
                  <c:v>Marker Pack</c:v>
                </c:pt>
                <c:pt idx="13">
                  <c:v>Monitor</c:v>
                </c:pt>
                <c:pt idx="14">
                  <c:v>Mouse</c:v>
                </c:pt>
                <c:pt idx="15">
                  <c:v>Notebook</c:v>
                </c:pt>
                <c:pt idx="16">
                  <c:v>Office Chair</c:v>
                </c:pt>
                <c:pt idx="17">
                  <c:v>Pen Pack</c:v>
                </c:pt>
                <c:pt idx="18">
                  <c:v>Printer</c:v>
                </c:pt>
                <c:pt idx="19">
                  <c:v>Projector</c:v>
                </c:pt>
                <c:pt idx="20">
                  <c:v>Router</c:v>
                </c:pt>
                <c:pt idx="21">
                  <c:v>Scanner</c:v>
                </c:pt>
                <c:pt idx="22">
                  <c:v>Smart TV</c:v>
                </c:pt>
                <c:pt idx="23">
                  <c:v>Sofa</c:v>
                </c:pt>
                <c:pt idx="24">
                  <c:v>Speaker</c:v>
                </c:pt>
                <c:pt idx="25">
                  <c:v>Standing Desk</c:v>
                </c:pt>
                <c:pt idx="26">
                  <c:v>Stapler</c:v>
                </c:pt>
                <c:pt idx="27">
                  <c:v>Tablet</c:v>
                </c:pt>
                <c:pt idx="28">
                  <c:v>Webcam</c:v>
                </c:pt>
                <c:pt idx="29">
                  <c:v>Whiteboard</c:v>
                </c:pt>
              </c:strCache>
            </c:strRef>
          </c:cat>
          <c:val>
            <c:numRef>
              <c:f>Sheet1!$DH$10:$DH$40</c:f>
              <c:numCache>
                <c:formatCode>General</c:formatCode>
                <c:ptCount val="30"/>
                <c:pt idx="1">
                  <c:v>9000</c:v>
                </c:pt>
                <c:pt idx="10">
                  <c:v>6000</c:v>
                </c:pt>
              </c:numCache>
            </c:numRef>
          </c:val>
          <c:smooth val="0"/>
          <c:extLst>
            <c:ext xmlns:c16="http://schemas.microsoft.com/office/drawing/2014/chart" uri="{C3380CC4-5D6E-409C-BE32-E72D297353CC}">
              <c16:uniqueId val="{00000011-57C9-4B84-948C-E952E889EDB3}"/>
            </c:ext>
          </c:extLst>
        </c:ser>
        <c:dLbls>
          <c:showLegendKey val="0"/>
          <c:showVal val="0"/>
          <c:showCatName val="0"/>
          <c:showSerName val="0"/>
          <c:showPercent val="0"/>
          <c:showBubbleSize val="0"/>
        </c:dLbls>
        <c:smooth val="0"/>
        <c:axId val="366574255"/>
        <c:axId val="366571855"/>
      </c:lineChart>
      <c:catAx>
        <c:axId val="36657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571855"/>
        <c:crosses val="autoZero"/>
        <c:auto val="1"/>
        <c:lblAlgn val="ctr"/>
        <c:lblOffset val="100"/>
        <c:noMultiLvlLbl val="0"/>
      </c:catAx>
      <c:valAx>
        <c:axId val="36657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57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[project_1(major).xlsx]Sheet1!PivotTable11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Actual</a:t>
            </a:r>
            <a:r>
              <a:rPr lang="en-IN" baseline="0"/>
              <a:t> Vs Target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Sheet1!$CT$7</c:f>
              <c:strCache>
                <c:ptCount val="1"/>
                <c:pt idx="0">
                  <c:v>Sum of Sales</c:v>
                </c:pt>
              </c:strCache>
            </c:strRef>
          </c:tx>
          <c:spPr>
            <a:ln w="28575" cap="rnd">
              <a:solidFill>
                <a:schemeClr val="accent1"/>
              </a:solidFill>
              <a:round/>
            </a:ln>
            <a:effectLst/>
          </c:spPr>
          <c:marker>
            <c:symbol val="none"/>
          </c:marker>
          <c:cat>
            <c:strRef>
              <c:f>Sheet1!$CS$8:$CS$14</c:f>
              <c:strCache>
                <c:ptCount val="6"/>
                <c:pt idx="0">
                  <c:v>Jan</c:v>
                </c:pt>
                <c:pt idx="1">
                  <c:v>Feb</c:v>
                </c:pt>
                <c:pt idx="2">
                  <c:v>Mar</c:v>
                </c:pt>
                <c:pt idx="3">
                  <c:v>Apr</c:v>
                </c:pt>
                <c:pt idx="4">
                  <c:v>May</c:v>
                </c:pt>
                <c:pt idx="5">
                  <c:v>Jun</c:v>
                </c:pt>
              </c:strCache>
            </c:strRef>
          </c:cat>
          <c:val>
            <c:numRef>
              <c:f>Sheet1!$CT$8:$CT$14</c:f>
              <c:numCache>
                <c:formatCode>General</c:formatCode>
                <c:ptCount val="6"/>
                <c:pt idx="0">
                  <c:v>247700</c:v>
                </c:pt>
                <c:pt idx="1">
                  <c:v>21000</c:v>
                </c:pt>
                <c:pt idx="2">
                  <c:v>14500</c:v>
                </c:pt>
                <c:pt idx="3">
                  <c:v>14400</c:v>
                </c:pt>
                <c:pt idx="4">
                  <c:v>65000</c:v>
                </c:pt>
                <c:pt idx="5">
                  <c:v>15000</c:v>
                </c:pt>
              </c:numCache>
            </c:numRef>
          </c:val>
          <c:smooth val="0"/>
          <c:extLst>
            <c:ext xmlns:c16="http://schemas.microsoft.com/office/drawing/2014/chart" uri="{C3380CC4-5D6E-409C-BE32-E72D297353CC}">
              <c16:uniqueId val="{00000000-8C6B-4185-89DD-8AA447DDA3B5}"/>
            </c:ext>
          </c:extLst>
        </c:ser>
        <c:ser>
          <c:idx val="1"/>
          <c:order val="1"/>
          <c:tx>
            <c:strRef>
              <c:f>Sheet1!$CU$7</c:f>
              <c:strCache>
                <c:ptCount val="1"/>
                <c:pt idx="0">
                  <c:v>Sum of Target Sales</c:v>
                </c:pt>
              </c:strCache>
            </c:strRef>
          </c:tx>
          <c:spPr>
            <a:ln w="28575" cap="rnd">
              <a:solidFill>
                <a:schemeClr val="accent2"/>
              </a:solidFill>
              <a:round/>
            </a:ln>
            <a:effectLst/>
          </c:spPr>
          <c:marker>
            <c:symbol val="none"/>
          </c:marker>
          <c:cat>
            <c:strRef>
              <c:f>Sheet1!$CS$8:$CS$14</c:f>
              <c:strCache>
                <c:ptCount val="6"/>
                <c:pt idx="0">
                  <c:v>Jan</c:v>
                </c:pt>
                <c:pt idx="1">
                  <c:v>Feb</c:v>
                </c:pt>
                <c:pt idx="2">
                  <c:v>Mar</c:v>
                </c:pt>
                <c:pt idx="3">
                  <c:v>Apr</c:v>
                </c:pt>
                <c:pt idx="4">
                  <c:v>May</c:v>
                </c:pt>
                <c:pt idx="5">
                  <c:v>Jun</c:v>
                </c:pt>
              </c:strCache>
            </c:strRef>
          </c:cat>
          <c:val>
            <c:numRef>
              <c:f>Sheet1!$CU$8:$CU$14</c:f>
              <c:numCache>
                <c:formatCode>General</c:formatCode>
                <c:ptCount val="6"/>
                <c:pt idx="0">
                  <c:v>4740000</c:v>
                </c:pt>
                <c:pt idx="1">
                  <c:v>4740000</c:v>
                </c:pt>
                <c:pt idx="2">
                  <c:v>4740000</c:v>
                </c:pt>
                <c:pt idx="3">
                  <c:v>4740000</c:v>
                </c:pt>
                <c:pt idx="4">
                  <c:v>4740000</c:v>
                </c:pt>
                <c:pt idx="5">
                  <c:v>4740000</c:v>
                </c:pt>
              </c:numCache>
            </c:numRef>
          </c:val>
          <c:smooth val="0"/>
          <c:extLst>
            <c:ext xmlns:c16="http://schemas.microsoft.com/office/drawing/2014/chart" uri="{C3380CC4-5D6E-409C-BE32-E72D297353CC}">
              <c16:uniqueId val="{00000001-8C6B-4185-89DD-8AA447DDA3B5}"/>
            </c:ext>
          </c:extLst>
        </c:ser>
        <c:dLbls>
          <c:showLegendKey val="0"/>
          <c:showVal val="0"/>
          <c:showCatName val="0"/>
          <c:showSerName val="0"/>
          <c:showPercent val="0"/>
          <c:showBubbleSize val="0"/>
        </c:dLbls>
        <c:smooth val="0"/>
        <c:axId val="267017167"/>
        <c:axId val="267020527"/>
      </c:lineChart>
      <c:catAx>
        <c:axId val="26701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20527"/>
        <c:crosses val="autoZero"/>
        <c:auto val="1"/>
        <c:lblAlgn val="ctr"/>
        <c:lblOffset val="100"/>
        <c:noMultiLvlLbl val="0"/>
      </c:catAx>
      <c:valAx>
        <c:axId val="26702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1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hyperlink" Target="#dash4!A1"/><Relationship Id="rId2" Type="http://schemas.openxmlformats.org/officeDocument/2006/relationships/hyperlink" Target="#dashh3!A1"/><Relationship Id="rId1" Type="http://schemas.openxmlformats.org/officeDocument/2006/relationships/hyperlink" Target="#dash2!A1"/><Relationship Id="rId4" Type="http://schemas.openxmlformats.org/officeDocument/2006/relationships/hyperlink" Target="#dash5!A1"/></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3</xdr:col>
      <xdr:colOff>731947</xdr:colOff>
      <xdr:row>19</xdr:row>
      <xdr:rowOff>97813</xdr:rowOff>
    </xdr:from>
    <xdr:to>
      <xdr:col>4</xdr:col>
      <xdr:colOff>2198761</xdr:colOff>
      <xdr:row>33</xdr:row>
      <xdr:rowOff>8902</xdr:rowOff>
    </xdr:to>
    <xdr:graphicFrame macro="">
      <xdr:nvGraphicFramePr>
        <xdr:cNvPr id="2" name="Chart 1">
          <a:extLst>
            <a:ext uri="{FF2B5EF4-FFF2-40B4-BE49-F238E27FC236}">
              <a16:creationId xmlns:a16="http://schemas.microsoft.com/office/drawing/2014/main" id="{AA6AD99F-B675-AB3D-E098-C7E3B69D4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22860</xdr:colOff>
      <xdr:row>6</xdr:row>
      <xdr:rowOff>38100</xdr:rowOff>
    </xdr:from>
    <xdr:to>
      <xdr:col>8</xdr:col>
      <xdr:colOff>496476</xdr:colOff>
      <xdr:row>19</xdr:row>
      <xdr:rowOff>127635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A0829E92-0714-141B-E8DC-3463D078F26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301740" y="1135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350520</xdr:colOff>
      <xdr:row>6</xdr:row>
      <xdr:rowOff>0</xdr:rowOff>
    </xdr:from>
    <xdr:to>
      <xdr:col>6</xdr:col>
      <xdr:colOff>709338</xdr:colOff>
      <xdr:row>19</xdr:row>
      <xdr:rowOff>89535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30F8B10-06B4-41A6-3B38-A092A46261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7764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342900</xdr:colOff>
      <xdr:row>5</xdr:row>
      <xdr:rowOff>30480</xdr:rowOff>
    </xdr:from>
    <xdr:to>
      <xdr:col>3</xdr:col>
      <xdr:colOff>1204639</xdr:colOff>
      <xdr:row>18</xdr:row>
      <xdr:rowOff>120015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E0838491-624B-F122-707B-4F9A15D51C7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729740" y="944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441960</xdr:colOff>
      <xdr:row>4</xdr:row>
      <xdr:rowOff>91440</xdr:rowOff>
    </xdr:from>
    <xdr:to>
      <xdr:col>12</xdr:col>
      <xdr:colOff>441960</xdr:colOff>
      <xdr:row>18</xdr:row>
      <xdr:rowOff>2235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147912F9-6A5C-BE92-3AA1-54AAB928E2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679180" y="822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304800</xdr:colOff>
      <xdr:row>3</xdr:row>
      <xdr:rowOff>41910</xdr:rowOff>
    </xdr:from>
    <xdr:to>
      <xdr:col>24</xdr:col>
      <xdr:colOff>0</xdr:colOff>
      <xdr:row>18</xdr:row>
      <xdr:rowOff>41910</xdr:rowOff>
    </xdr:to>
    <xdr:graphicFrame macro="">
      <xdr:nvGraphicFramePr>
        <xdr:cNvPr id="8" name="Chart 7">
          <a:extLst>
            <a:ext uri="{FF2B5EF4-FFF2-40B4-BE49-F238E27FC236}">
              <a16:creationId xmlns:a16="http://schemas.microsoft.com/office/drawing/2014/main" id="{B41C6965-FA54-4D3E-F557-AEBB067EA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150383</xdr:colOff>
      <xdr:row>10</xdr:row>
      <xdr:rowOff>176828</xdr:rowOff>
    </xdr:from>
    <xdr:to>
      <xdr:col>31</xdr:col>
      <xdr:colOff>13223</xdr:colOff>
      <xdr:row>25</xdr:row>
      <xdr:rowOff>176829</xdr:rowOff>
    </xdr:to>
    <xdr:graphicFrame macro="">
      <xdr:nvGraphicFramePr>
        <xdr:cNvPr id="9" name="Chart 8">
          <a:extLst>
            <a:ext uri="{FF2B5EF4-FFF2-40B4-BE49-F238E27FC236}">
              <a16:creationId xmlns:a16="http://schemas.microsoft.com/office/drawing/2014/main" id="{C20D78E7-7887-7ACB-7356-AA5CA40C2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213360</xdr:colOff>
      <xdr:row>3</xdr:row>
      <xdr:rowOff>80010</xdr:rowOff>
    </xdr:from>
    <xdr:to>
      <xdr:col>46</xdr:col>
      <xdr:colOff>335280</xdr:colOff>
      <xdr:row>18</xdr:row>
      <xdr:rowOff>80010</xdr:rowOff>
    </xdr:to>
    <xdr:graphicFrame macro="">
      <xdr:nvGraphicFramePr>
        <xdr:cNvPr id="10" name="Chart 9">
          <a:extLst>
            <a:ext uri="{FF2B5EF4-FFF2-40B4-BE49-F238E27FC236}">
              <a16:creationId xmlns:a16="http://schemas.microsoft.com/office/drawing/2014/main" id="{1D62E885-1D43-7299-AD89-9CDDD67EA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49</xdr:col>
      <xdr:colOff>91440</xdr:colOff>
      <xdr:row>4</xdr:row>
      <xdr:rowOff>87630</xdr:rowOff>
    </xdr:from>
    <xdr:to>
      <xdr:col>56</xdr:col>
      <xdr:colOff>396240</xdr:colOff>
      <xdr:row>19</xdr:row>
      <xdr:rowOff>87630</xdr:rowOff>
    </xdr:to>
    <xdr:graphicFrame macro="">
      <xdr:nvGraphicFramePr>
        <xdr:cNvPr id="11" name="Chart 10">
          <a:extLst>
            <a:ext uri="{FF2B5EF4-FFF2-40B4-BE49-F238E27FC236}">
              <a16:creationId xmlns:a16="http://schemas.microsoft.com/office/drawing/2014/main" id="{C06A4818-43C9-7D13-D5EC-2E28D0B7B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59</xdr:col>
      <xdr:colOff>228600</xdr:colOff>
      <xdr:row>4</xdr:row>
      <xdr:rowOff>95250</xdr:rowOff>
    </xdr:from>
    <xdr:to>
      <xdr:col>66</xdr:col>
      <xdr:colOff>533400</xdr:colOff>
      <xdr:row>19</xdr:row>
      <xdr:rowOff>95250</xdr:rowOff>
    </xdr:to>
    <xdr:graphicFrame macro="">
      <xdr:nvGraphicFramePr>
        <xdr:cNvPr id="12" name="Chart 11">
          <a:extLst>
            <a:ext uri="{FF2B5EF4-FFF2-40B4-BE49-F238E27FC236}">
              <a16:creationId xmlns:a16="http://schemas.microsoft.com/office/drawing/2014/main" id="{C4667A85-5637-5563-A276-633BBE1AA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67</xdr:col>
      <xdr:colOff>533400</xdr:colOff>
      <xdr:row>11</xdr:row>
      <xdr:rowOff>34290</xdr:rowOff>
    </xdr:from>
    <xdr:to>
      <xdr:col>73</xdr:col>
      <xdr:colOff>99060</xdr:colOff>
      <xdr:row>26</xdr:row>
      <xdr:rowOff>34290</xdr:rowOff>
    </xdr:to>
    <xdr:graphicFrame macro="">
      <xdr:nvGraphicFramePr>
        <xdr:cNvPr id="6" name="Chart 5">
          <a:extLst>
            <a:ext uri="{FF2B5EF4-FFF2-40B4-BE49-F238E27FC236}">
              <a16:creationId xmlns:a16="http://schemas.microsoft.com/office/drawing/2014/main" id="{55F62B65-37F6-2E30-B0AE-F9637D70F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76</xdr:col>
      <xdr:colOff>91440</xdr:colOff>
      <xdr:row>7</xdr:row>
      <xdr:rowOff>64770</xdr:rowOff>
    </xdr:from>
    <xdr:to>
      <xdr:col>83</xdr:col>
      <xdr:colOff>396240</xdr:colOff>
      <xdr:row>22</xdr:row>
      <xdr:rowOff>64770</xdr:rowOff>
    </xdr:to>
    <xdr:graphicFrame macro="">
      <xdr:nvGraphicFramePr>
        <xdr:cNvPr id="7" name="Chart 6">
          <a:extLst>
            <a:ext uri="{FF2B5EF4-FFF2-40B4-BE49-F238E27FC236}">
              <a16:creationId xmlns:a16="http://schemas.microsoft.com/office/drawing/2014/main" id="{688B2A7C-8AD6-F7B4-6619-9DFB20D5F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83</xdr:col>
      <xdr:colOff>533400</xdr:colOff>
      <xdr:row>10</xdr:row>
      <xdr:rowOff>34290</xdr:rowOff>
    </xdr:from>
    <xdr:to>
      <xdr:col>89</xdr:col>
      <xdr:colOff>457200</xdr:colOff>
      <xdr:row>25</xdr:row>
      <xdr:rowOff>34290</xdr:rowOff>
    </xdr:to>
    <xdr:graphicFrame macro="">
      <xdr:nvGraphicFramePr>
        <xdr:cNvPr id="14" name="Chart 13">
          <a:extLst>
            <a:ext uri="{FF2B5EF4-FFF2-40B4-BE49-F238E27FC236}">
              <a16:creationId xmlns:a16="http://schemas.microsoft.com/office/drawing/2014/main" id="{54560238-0F92-9DD1-E2C2-2DE879CF5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89</xdr:col>
      <xdr:colOff>548640</xdr:colOff>
      <xdr:row>9</xdr:row>
      <xdr:rowOff>87630</xdr:rowOff>
    </xdr:from>
    <xdr:to>
      <xdr:col>96</xdr:col>
      <xdr:colOff>15240</xdr:colOff>
      <xdr:row>24</xdr:row>
      <xdr:rowOff>87630</xdr:rowOff>
    </xdr:to>
    <xdr:graphicFrame macro="">
      <xdr:nvGraphicFramePr>
        <xdr:cNvPr id="15" name="Chart 14">
          <a:extLst>
            <a:ext uri="{FF2B5EF4-FFF2-40B4-BE49-F238E27FC236}">
              <a16:creationId xmlns:a16="http://schemas.microsoft.com/office/drawing/2014/main" id="{E705608B-D09B-1946-DF69-7AE5C96E7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96</xdr:col>
      <xdr:colOff>99060</xdr:colOff>
      <xdr:row>14</xdr:row>
      <xdr:rowOff>57150</xdr:rowOff>
    </xdr:from>
    <xdr:to>
      <xdr:col>100</xdr:col>
      <xdr:colOff>731520</xdr:colOff>
      <xdr:row>29</xdr:row>
      <xdr:rowOff>57150</xdr:rowOff>
    </xdr:to>
    <xdr:graphicFrame macro="">
      <xdr:nvGraphicFramePr>
        <xdr:cNvPr id="16" name="Chart 15">
          <a:extLst>
            <a:ext uri="{FF2B5EF4-FFF2-40B4-BE49-F238E27FC236}">
              <a16:creationId xmlns:a16="http://schemas.microsoft.com/office/drawing/2014/main" id="{9DEF2395-AFD1-B1D6-A3BF-904C045C8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101</xdr:col>
      <xdr:colOff>0</xdr:colOff>
      <xdr:row>22</xdr:row>
      <xdr:rowOff>1</xdr:rowOff>
    </xdr:from>
    <xdr:to>
      <xdr:col>104</xdr:col>
      <xdr:colOff>541020</xdr:colOff>
      <xdr:row>35</xdr:row>
      <xdr:rowOff>53340</xdr:rowOff>
    </xdr:to>
    <xdr:graphicFrame macro="">
      <xdr:nvGraphicFramePr>
        <xdr:cNvPr id="17" name="Chart 16">
          <a:extLst>
            <a:ext uri="{FF2B5EF4-FFF2-40B4-BE49-F238E27FC236}">
              <a16:creationId xmlns:a16="http://schemas.microsoft.com/office/drawing/2014/main" id="{6C5AF12A-2D87-4CE9-891C-258C42F29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113</xdr:col>
      <xdr:colOff>196101</xdr:colOff>
      <xdr:row>9</xdr:row>
      <xdr:rowOff>45943</xdr:rowOff>
    </xdr:from>
    <xdr:to>
      <xdr:col>119</xdr:col>
      <xdr:colOff>330572</xdr:colOff>
      <xdr:row>24</xdr:row>
      <xdr:rowOff>15688</xdr:rowOff>
    </xdr:to>
    <xdr:graphicFrame macro="">
      <xdr:nvGraphicFramePr>
        <xdr:cNvPr id="21" name="Chart 20">
          <a:extLst>
            <a:ext uri="{FF2B5EF4-FFF2-40B4-BE49-F238E27FC236}">
              <a16:creationId xmlns:a16="http://schemas.microsoft.com/office/drawing/2014/main" id="{D663C080-9F01-3916-587A-A4D446865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87923</xdr:colOff>
      <xdr:row>5</xdr:row>
      <xdr:rowOff>117231</xdr:rowOff>
    </xdr:from>
    <xdr:to>
      <xdr:col>3</xdr:col>
      <xdr:colOff>504825</xdr:colOff>
      <xdr:row>10</xdr:row>
      <xdr:rowOff>152400</xdr:rowOff>
    </xdr:to>
    <xdr:sp macro="" textlink="">
      <xdr:nvSpPr>
        <xdr:cNvPr id="8" name="Rectangle: Rounded Corners 7">
          <a:extLst>
            <a:ext uri="{FF2B5EF4-FFF2-40B4-BE49-F238E27FC236}">
              <a16:creationId xmlns:a16="http://schemas.microsoft.com/office/drawing/2014/main" id="{09565D86-7E96-5EB7-0A2E-8FED9F1BFD79}"/>
            </a:ext>
          </a:extLst>
        </xdr:cNvPr>
        <xdr:cNvSpPr/>
      </xdr:nvSpPr>
      <xdr:spPr>
        <a:xfrm>
          <a:off x="697523" y="1069731"/>
          <a:ext cx="2560027" cy="146391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5</xdr:col>
      <xdr:colOff>117231</xdr:colOff>
      <xdr:row>5</xdr:row>
      <xdr:rowOff>87922</xdr:rowOff>
    </xdr:from>
    <xdr:to>
      <xdr:col>8</xdr:col>
      <xdr:colOff>171450</xdr:colOff>
      <xdr:row>10</xdr:row>
      <xdr:rowOff>85725</xdr:rowOff>
    </xdr:to>
    <xdr:sp macro="" textlink="">
      <xdr:nvSpPr>
        <xdr:cNvPr id="9" name="Rectangle: Rounded Corners 8">
          <a:extLst>
            <a:ext uri="{FF2B5EF4-FFF2-40B4-BE49-F238E27FC236}">
              <a16:creationId xmlns:a16="http://schemas.microsoft.com/office/drawing/2014/main" id="{FDBB4EAE-60F9-43A5-BA7F-6D28CEDABB89}"/>
            </a:ext>
          </a:extLst>
        </xdr:cNvPr>
        <xdr:cNvSpPr/>
      </xdr:nvSpPr>
      <xdr:spPr>
        <a:xfrm>
          <a:off x="4089156" y="1040422"/>
          <a:ext cx="2568819" cy="142655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1</xdr:col>
      <xdr:colOff>87923</xdr:colOff>
      <xdr:row>14</xdr:row>
      <xdr:rowOff>1</xdr:rowOff>
    </xdr:from>
    <xdr:to>
      <xdr:col>3</xdr:col>
      <xdr:colOff>508000</xdr:colOff>
      <xdr:row>18</xdr:row>
      <xdr:rowOff>152401</xdr:rowOff>
    </xdr:to>
    <xdr:sp macro="" textlink="">
      <xdr:nvSpPr>
        <xdr:cNvPr id="10" name="Rectangle: Rounded Corners 9">
          <a:extLst>
            <a:ext uri="{FF2B5EF4-FFF2-40B4-BE49-F238E27FC236}">
              <a16:creationId xmlns:a16="http://schemas.microsoft.com/office/drawing/2014/main" id="{D722162B-311B-4573-98EB-A3F7F3023A3F}"/>
            </a:ext>
          </a:extLst>
        </xdr:cNvPr>
        <xdr:cNvSpPr/>
      </xdr:nvSpPr>
      <xdr:spPr>
        <a:xfrm>
          <a:off x="697523" y="3143251"/>
          <a:ext cx="2563202" cy="13906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5</xdr:col>
      <xdr:colOff>166076</xdr:colOff>
      <xdr:row>14</xdr:row>
      <xdr:rowOff>0</xdr:rowOff>
    </xdr:from>
    <xdr:to>
      <xdr:col>8</xdr:col>
      <xdr:colOff>247649</xdr:colOff>
      <xdr:row>19</xdr:row>
      <xdr:rowOff>19049</xdr:rowOff>
    </xdr:to>
    <xdr:sp macro="" textlink="">
      <xdr:nvSpPr>
        <xdr:cNvPr id="11" name="Rectangle: Rounded Corners 10">
          <a:extLst>
            <a:ext uri="{FF2B5EF4-FFF2-40B4-BE49-F238E27FC236}">
              <a16:creationId xmlns:a16="http://schemas.microsoft.com/office/drawing/2014/main" id="{C178CAEF-75D7-4D58-B416-F7944C5389B3}"/>
            </a:ext>
          </a:extLst>
        </xdr:cNvPr>
        <xdr:cNvSpPr/>
      </xdr:nvSpPr>
      <xdr:spPr>
        <a:xfrm>
          <a:off x="4138001" y="3143250"/>
          <a:ext cx="2596173" cy="144779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1</xdr:col>
      <xdr:colOff>146539</xdr:colOff>
      <xdr:row>0</xdr:row>
      <xdr:rowOff>166077</xdr:rowOff>
    </xdr:from>
    <xdr:to>
      <xdr:col>15</xdr:col>
      <xdr:colOff>439615</xdr:colOff>
      <xdr:row>4</xdr:row>
      <xdr:rowOff>107461</xdr:rowOff>
    </xdr:to>
    <xdr:sp macro="" textlink="">
      <xdr:nvSpPr>
        <xdr:cNvPr id="12" name="Rectangle 11">
          <a:extLst>
            <a:ext uri="{FF2B5EF4-FFF2-40B4-BE49-F238E27FC236}">
              <a16:creationId xmlns:a16="http://schemas.microsoft.com/office/drawing/2014/main" id="{F6E24F96-DC62-BB69-F4EA-49A796A7484B}"/>
            </a:ext>
          </a:extLst>
        </xdr:cNvPr>
        <xdr:cNvSpPr/>
      </xdr:nvSpPr>
      <xdr:spPr>
        <a:xfrm>
          <a:off x="752231" y="166077"/>
          <a:ext cx="10472615" cy="6838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b="1">
              <a:solidFill>
                <a:schemeClr val="bg1"/>
              </a:solidFill>
            </a:rPr>
            <a:t>                       EXECUTIVE</a:t>
          </a:r>
          <a:r>
            <a:rPr lang="en-IN" sz="4000" b="1" baseline="0">
              <a:solidFill>
                <a:schemeClr val="bg1"/>
              </a:solidFill>
            </a:rPr>
            <a:t> DASHBOARD</a:t>
          </a:r>
          <a:endParaRPr lang="en-IN" sz="4000" b="1">
            <a:solidFill>
              <a:schemeClr val="bg1"/>
            </a:solidFill>
          </a:endParaRPr>
        </a:p>
      </xdr:txBody>
    </xdr:sp>
    <xdr:clientData/>
  </xdr:twoCellAnchor>
  <xdr:twoCellAnchor editAs="oneCell">
    <xdr:from>
      <xdr:col>13</xdr:col>
      <xdr:colOff>314568</xdr:colOff>
      <xdr:row>10</xdr:row>
      <xdr:rowOff>74636</xdr:rowOff>
    </xdr:from>
    <xdr:to>
      <xdr:col>16</xdr:col>
      <xdr:colOff>326291</xdr:colOff>
      <xdr:row>18</xdr:row>
      <xdr:rowOff>9525</xdr:rowOff>
    </xdr:to>
    <mc:AlternateContent xmlns:mc="http://schemas.openxmlformats.org/markup-compatibility/2006" xmlns:a14="http://schemas.microsoft.com/office/drawing/2010/main">
      <mc:Choice Requires="a14">
        <xdr:graphicFrame macro="">
          <xdr:nvGraphicFramePr>
            <xdr:cNvPr id="13" name="Month (Month)">
              <a:extLst>
                <a:ext uri="{FF2B5EF4-FFF2-40B4-BE49-F238E27FC236}">
                  <a16:creationId xmlns:a16="http://schemas.microsoft.com/office/drawing/2014/main" id="{1E7DF2D5-7FA8-BE63-DE7D-39119BC467EB}"/>
                </a:ext>
              </a:extLst>
            </xdr:cNvPr>
            <xdr:cNvGraphicFramePr/>
          </xdr:nvGraphicFramePr>
          <xdr:xfrm>
            <a:off x="0" y="0"/>
            <a:ext cx="0" cy="0"/>
          </xdr:xfrm>
          <a:graphic>
            <a:graphicData uri="http://schemas.microsoft.com/office/drawing/2010/slicer">
              <sle:slicer xmlns:sle="http://schemas.microsoft.com/office/drawing/2010/slicer" name="Month (Month)"/>
            </a:graphicData>
          </a:graphic>
        </xdr:graphicFrame>
      </mc:Choice>
      <mc:Fallback xmlns="">
        <xdr:sp macro="" textlink="">
          <xdr:nvSpPr>
            <xdr:cNvPr id="0" name=""/>
            <xdr:cNvSpPr>
              <a:spLocks noTextEdit="1"/>
            </xdr:cNvSpPr>
          </xdr:nvSpPr>
          <xdr:spPr>
            <a:xfrm>
              <a:off x="9888414" y="2409482"/>
              <a:ext cx="1828800" cy="2084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527538</xdr:colOff>
      <xdr:row>5</xdr:row>
      <xdr:rowOff>105313</xdr:rowOff>
    </xdr:from>
    <xdr:to>
      <xdr:col>13</xdr:col>
      <xdr:colOff>29308</xdr:colOff>
      <xdr:row>10</xdr:row>
      <xdr:rowOff>0</xdr:rowOff>
    </xdr:to>
    <mc:AlternateContent xmlns:mc="http://schemas.openxmlformats.org/markup-compatibility/2006" xmlns:a14="http://schemas.microsoft.com/office/drawing/2010/main">
      <mc:Choice Requires="a14">
        <xdr:graphicFrame macro="">
          <xdr:nvGraphicFramePr>
            <xdr:cNvPr id="14" name="Segment 3">
              <a:extLst>
                <a:ext uri="{FF2B5EF4-FFF2-40B4-BE49-F238E27FC236}">
                  <a16:creationId xmlns:a16="http://schemas.microsoft.com/office/drawing/2014/main" id="{65384983-CDB5-EE3B-BB89-F607A33169F7}"/>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7678615" y="1033390"/>
              <a:ext cx="1924539" cy="1301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287998</xdr:colOff>
      <xdr:row>5</xdr:row>
      <xdr:rowOff>116451</xdr:rowOff>
    </xdr:from>
    <xdr:to>
      <xdr:col>16</xdr:col>
      <xdr:colOff>299721</xdr:colOff>
      <xdr:row>9</xdr:row>
      <xdr:rowOff>87925</xdr:rowOff>
    </xdr:to>
    <mc:AlternateContent xmlns:mc="http://schemas.openxmlformats.org/markup-compatibility/2006" xmlns:a14="http://schemas.microsoft.com/office/drawing/2010/main">
      <mc:Choice Requires="a14">
        <xdr:graphicFrame macro="">
          <xdr:nvGraphicFramePr>
            <xdr:cNvPr id="15" name="Category 4">
              <a:extLst>
                <a:ext uri="{FF2B5EF4-FFF2-40B4-BE49-F238E27FC236}">
                  <a16:creationId xmlns:a16="http://schemas.microsoft.com/office/drawing/2014/main" id="{0B6ED180-C5BD-B711-89F9-B8A9CF4D0044}"/>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9861844" y="1044528"/>
              <a:ext cx="1828800" cy="1192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556846</xdr:colOff>
      <xdr:row>10</xdr:row>
      <xdr:rowOff>176432</xdr:rowOff>
    </xdr:from>
    <xdr:to>
      <xdr:col>13</xdr:col>
      <xdr:colOff>95933</xdr:colOff>
      <xdr:row>18</xdr:row>
      <xdr:rowOff>29308</xdr:rowOff>
    </xdr:to>
    <mc:AlternateContent xmlns:mc="http://schemas.openxmlformats.org/markup-compatibility/2006" xmlns:a14="http://schemas.microsoft.com/office/drawing/2010/main">
      <mc:Choice Requires="a14">
        <xdr:graphicFrame macro="">
          <xdr:nvGraphicFramePr>
            <xdr:cNvPr id="16" name="Region 5">
              <a:extLst>
                <a:ext uri="{FF2B5EF4-FFF2-40B4-BE49-F238E27FC236}">
                  <a16:creationId xmlns:a16="http://schemas.microsoft.com/office/drawing/2014/main" id="{E9050C69-5D9D-8D7A-5C61-0E6F6E016E83}"/>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7707923" y="2511278"/>
              <a:ext cx="1961856" cy="1816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57150</xdr:colOff>
      <xdr:row>20</xdr:row>
      <xdr:rowOff>57150</xdr:rowOff>
    </xdr:from>
    <xdr:to>
      <xdr:col>3</xdr:col>
      <xdr:colOff>0</xdr:colOff>
      <xdr:row>24</xdr:row>
      <xdr:rowOff>9525</xdr:rowOff>
    </xdr:to>
    <xdr:sp macro="" textlink="">
      <xdr:nvSpPr>
        <xdr:cNvPr id="2" name="Arrow: Right 1">
          <a:hlinkClick xmlns:r="http://schemas.openxmlformats.org/officeDocument/2006/relationships" r:id="rId1"/>
          <a:extLst>
            <a:ext uri="{FF2B5EF4-FFF2-40B4-BE49-F238E27FC236}">
              <a16:creationId xmlns:a16="http://schemas.microsoft.com/office/drawing/2014/main" id="{1A309F8A-1450-9776-ECBF-F8D467AB11F9}"/>
            </a:ext>
          </a:extLst>
        </xdr:cNvPr>
        <xdr:cNvSpPr/>
      </xdr:nvSpPr>
      <xdr:spPr>
        <a:xfrm>
          <a:off x="666750" y="4819650"/>
          <a:ext cx="2085975" cy="7143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Sales dashboard</a:t>
          </a:r>
        </a:p>
      </xdr:txBody>
    </xdr:sp>
    <xdr:clientData/>
  </xdr:twoCellAnchor>
  <xdr:twoCellAnchor>
    <xdr:from>
      <xdr:col>4</xdr:col>
      <xdr:colOff>285750</xdr:colOff>
      <xdr:row>20</xdr:row>
      <xdr:rowOff>104775</xdr:rowOff>
    </xdr:from>
    <xdr:to>
      <xdr:col>6</xdr:col>
      <xdr:colOff>1181100</xdr:colOff>
      <xdr:row>24</xdr:row>
      <xdr:rowOff>85725</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B4BE4EF8-9DB8-4F0F-8789-70D88662322E}"/>
            </a:ext>
          </a:extLst>
        </xdr:cNvPr>
        <xdr:cNvSpPr/>
      </xdr:nvSpPr>
      <xdr:spPr>
        <a:xfrm>
          <a:off x="3648075" y="4867275"/>
          <a:ext cx="2114550" cy="7429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Customer dashboard</a:t>
          </a:r>
        </a:p>
      </xdr:txBody>
    </xdr:sp>
    <xdr:clientData/>
  </xdr:twoCellAnchor>
  <xdr:twoCellAnchor>
    <xdr:from>
      <xdr:col>8</xdr:col>
      <xdr:colOff>19050</xdr:colOff>
      <xdr:row>20</xdr:row>
      <xdr:rowOff>47625</xdr:rowOff>
    </xdr:from>
    <xdr:to>
      <xdr:col>11</xdr:col>
      <xdr:colOff>133350</xdr:colOff>
      <xdr:row>24</xdr:row>
      <xdr:rowOff>57150</xdr:rowOff>
    </xdr:to>
    <xdr:sp macro="" textlink="">
      <xdr:nvSpPr>
        <xdr:cNvPr id="5" name="Arrow: Right 4">
          <a:hlinkClick xmlns:r="http://schemas.openxmlformats.org/officeDocument/2006/relationships" r:id="rId3"/>
          <a:extLst>
            <a:ext uri="{FF2B5EF4-FFF2-40B4-BE49-F238E27FC236}">
              <a16:creationId xmlns:a16="http://schemas.microsoft.com/office/drawing/2014/main" id="{2A440F35-8B1A-4E3E-9E7C-B01341519C4A}"/>
            </a:ext>
          </a:extLst>
        </xdr:cNvPr>
        <xdr:cNvSpPr/>
      </xdr:nvSpPr>
      <xdr:spPr>
        <a:xfrm>
          <a:off x="6505575" y="4810125"/>
          <a:ext cx="1943100" cy="7715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Inventory</a:t>
          </a:r>
          <a:r>
            <a:rPr lang="en-IN" sz="1400" baseline="0"/>
            <a:t> dashboard</a:t>
          </a:r>
          <a:endParaRPr lang="en-IN" sz="1400"/>
        </a:p>
      </xdr:txBody>
    </xdr:sp>
    <xdr:clientData/>
  </xdr:twoCellAnchor>
  <xdr:twoCellAnchor>
    <xdr:from>
      <xdr:col>12</xdr:col>
      <xdr:colOff>209549</xdr:colOff>
      <xdr:row>20</xdr:row>
      <xdr:rowOff>38100</xdr:rowOff>
    </xdr:from>
    <xdr:to>
      <xdr:col>15</xdr:col>
      <xdr:colOff>352424</xdr:colOff>
      <xdr:row>24</xdr:row>
      <xdr:rowOff>19050</xdr:rowOff>
    </xdr:to>
    <xdr:sp macro="" textlink="">
      <xdr:nvSpPr>
        <xdr:cNvPr id="6" name="Arrow: Right 5">
          <a:hlinkClick xmlns:r="http://schemas.openxmlformats.org/officeDocument/2006/relationships" r:id="rId4"/>
          <a:extLst>
            <a:ext uri="{FF2B5EF4-FFF2-40B4-BE49-F238E27FC236}">
              <a16:creationId xmlns:a16="http://schemas.microsoft.com/office/drawing/2014/main" id="{7FCB7405-5DE3-4F59-9F36-8BBE4E56C876}"/>
            </a:ext>
          </a:extLst>
        </xdr:cNvPr>
        <xdr:cNvSpPr/>
      </xdr:nvSpPr>
      <xdr:spPr>
        <a:xfrm>
          <a:off x="9134474" y="4800600"/>
          <a:ext cx="1971675" cy="7429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Forecast 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327660</xdr:colOff>
      <xdr:row>7</xdr:row>
      <xdr:rowOff>30480</xdr:rowOff>
    </xdr:from>
    <xdr:to>
      <xdr:col>7</xdr:col>
      <xdr:colOff>365760</xdr:colOff>
      <xdr:row>20</xdr:row>
      <xdr:rowOff>175260</xdr:rowOff>
    </xdr:to>
    <xdr:sp macro="" textlink="">
      <xdr:nvSpPr>
        <xdr:cNvPr id="5" name="Rectangle 4">
          <a:extLst>
            <a:ext uri="{FF2B5EF4-FFF2-40B4-BE49-F238E27FC236}">
              <a16:creationId xmlns:a16="http://schemas.microsoft.com/office/drawing/2014/main" id="{57C46F1B-C121-2CEF-2F96-7169DD5E854E}"/>
            </a:ext>
          </a:extLst>
        </xdr:cNvPr>
        <xdr:cNvSpPr/>
      </xdr:nvSpPr>
      <xdr:spPr>
        <a:xfrm>
          <a:off x="327660" y="1310640"/>
          <a:ext cx="4305300" cy="2522220"/>
        </a:xfrm>
        <a:prstGeom prst="rect">
          <a:avLst/>
        </a:prstGeom>
        <a:solidFill>
          <a:srgbClr val="A1A1D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434340</xdr:colOff>
      <xdr:row>7</xdr:row>
      <xdr:rowOff>152400</xdr:rowOff>
    </xdr:from>
    <xdr:to>
      <xdr:col>7</xdr:col>
      <xdr:colOff>236220</xdr:colOff>
      <xdr:row>20</xdr:row>
      <xdr:rowOff>30480</xdr:rowOff>
    </xdr:to>
    <xdr:graphicFrame macro="">
      <xdr:nvGraphicFramePr>
        <xdr:cNvPr id="6" name="Chart 5">
          <a:extLst>
            <a:ext uri="{FF2B5EF4-FFF2-40B4-BE49-F238E27FC236}">
              <a16:creationId xmlns:a16="http://schemas.microsoft.com/office/drawing/2014/main" id="{217501F7-3A27-459E-8776-1CB35E8E0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289560</xdr:colOff>
      <xdr:row>6</xdr:row>
      <xdr:rowOff>144780</xdr:rowOff>
    </xdr:from>
    <xdr:to>
      <xdr:col>20</xdr:col>
      <xdr:colOff>53340</xdr:colOff>
      <xdr:row>20</xdr:row>
      <xdr:rowOff>106680</xdr:rowOff>
    </xdr:to>
    <xdr:sp macro="" textlink="">
      <xdr:nvSpPr>
        <xdr:cNvPr id="7" name="Rectangle 6">
          <a:extLst>
            <a:ext uri="{FF2B5EF4-FFF2-40B4-BE49-F238E27FC236}">
              <a16:creationId xmlns:a16="http://schemas.microsoft.com/office/drawing/2014/main" id="{9A557568-AABA-4697-A1A4-44B17C3497FE}"/>
            </a:ext>
          </a:extLst>
        </xdr:cNvPr>
        <xdr:cNvSpPr/>
      </xdr:nvSpPr>
      <xdr:spPr>
        <a:xfrm>
          <a:off x="7604760" y="1242060"/>
          <a:ext cx="4640580" cy="2522220"/>
        </a:xfrm>
        <a:prstGeom prst="rect">
          <a:avLst/>
        </a:prstGeom>
        <a:solidFill>
          <a:srgbClr val="A1A1D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495300</xdr:colOff>
      <xdr:row>7</xdr:row>
      <xdr:rowOff>60960</xdr:rowOff>
    </xdr:from>
    <xdr:to>
      <xdr:col>19</xdr:col>
      <xdr:colOff>472440</xdr:colOff>
      <xdr:row>20</xdr:row>
      <xdr:rowOff>15240</xdr:rowOff>
    </xdr:to>
    <xdr:graphicFrame macro="">
      <xdr:nvGraphicFramePr>
        <xdr:cNvPr id="8" name="Chart 7">
          <a:extLst>
            <a:ext uri="{FF2B5EF4-FFF2-40B4-BE49-F238E27FC236}">
              <a16:creationId xmlns:a16="http://schemas.microsoft.com/office/drawing/2014/main" id="{A5CBD789-B12C-4CA1-9F54-E12492CAE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22</xdr:row>
      <xdr:rowOff>68580</xdr:rowOff>
    </xdr:from>
    <xdr:to>
      <xdr:col>10</xdr:col>
      <xdr:colOff>579120</xdr:colOff>
      <xdr:row>36</xdr:row>
      <xdr:rowOff>30480</xdr:rowOff>
    </xdr:to>
    <xdr:sp macro="" textlink="">
      <xdr:nvSpPr>
        <xdr:cNvPr id="12" name="Rectangle 11">
          <a:extLst>
            <a:ext uri="{FF2B5EF4-FFF2-40B4-BE49-F238E27FC236}">
              <a16:creationId xmlns:a16="http://schemas.microsoft.com/office/drawing/2014/main" id="{869EBA49-00A9-4226-B7D5-E7B4E454BCD0}"/>
            </a:ext>
          </a:extLst>
        </xdr:cNvPr>
        <xdr:cNvSpPr/>
      </xdr:nvSpPr>
      <xdr:spPr>
        <a:xfrm>
          <a:off x="1409700" y="4091940"/>
          <a:ext cx="5265420" cy="2522220"/>
        </a:xfrm>
        <a:prstGeom prst="rect">
          <a:avLst/>
        </a:prstGeom>
        <a:solidFill>
          <a:srgbClr val="A1A1D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289560</xdr:colOff>
      <xdr:row>22</xdr:row>
      <xdr:rowOff>121920</xdr:rowOff>
    </xdr:from>
    <xdr:to>
      <xdr:col>10</xdr:col>
      <xdr:colOff>457199</xdr:colOff>
      <xdr:row>35</xdr:row>
      <xdr:rowOff>121920</xdr:rowOff>
    </xdr:to>
    <xdr:graphicFrame macro="">
      <xdr:nvGraphicFramePr>
        <xdr:cNvPr id="13" name="Chart 12">
          <a:extLst>
            <a:ext uri="{FF2B5EF4-FFF2-40B4-BE49-F238E27FC236}">
              <a16:creationId xmlns:a16="http://schemas.microsoft.com/office/drawing/2014/main" id="{297C25BF-9962-4EC8-BFCF-7B6470104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327660</xdr:colOff>
      <xdr:row>7</xdr:row>
      <xdr:rowOff>30480</xdr:rowOff>
    </xdr:from>
    <xdr:to>
      <xdr:col>11</xdr:col>
      <xdr:colOff>327660</xdr:colOff>
      <xdr:row>20</xdr:row>
      <xdr:rowOff>120015</xdr:rowOff>
    </xdr:to>
    <mc:AlternateContent xmlns:mc="http://schemas.openxmlformats.org/markup-compatibility/2006" xmlns:a14="http://schemas.microsoft.com/office/drawing/2010/main">
      <mc:Choice Requires="a14">
        <xdr:graphicFrame macro="">
          <xdr:nvGraphicFramePr>
            <xdr:cNvPr id="14" name="Month 1">
              <a:extLst>
                <a:ext uri="{FF2B5EF4-FFF2-40B4-BE49-F238E27FC236}">
                  <a16:creationId xmlns:a16="http://schemas.microsoft.com/office/drawing/2014/main" id="{52271BF3-0D26-F465-32DE-DE508BE59B6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204460" y="1310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160020</xdr:colOff>
      <xdr:row>23</xdr:row>
      <xdr:rowOff>114301</xdr:rowOff>
    </xdr:from>
    <xdr:to>
      <xdr:col>19</xdr:col>
      <xdr:colOff>160020</xdr:colOff>
      <xdr:row>34</xdr:row>
      <xdr:rowOff>121920</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FCD4CC23-1CD9-20DB-46A3-94B7D666CD6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13620" y="4320541"/>
              <a:ext cx="1828800" cy="201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297180</xdr:colOff>
      <xdr:row>23</xdr:row>
      <xdr:rowOff>144780</xdr:rowOff>
    </xdr:from>
    <xdr:to>
      <xdr:col>15</xdr:col>
      <xdr:colOff>297180</xdr:colOff>
      <xdr:row>34</xdr:row>
      <xdr:rowOff>114299</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7475A6AD-688F-2A9E-85FD-DDD884312D5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612380" y="4351020"/>
              <a:ext cx="1828800" cy="1981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327660</xdr:colOff>
      <xdr:row>1</xdr:row>
      <xdr:rowOff>15240</xdr:rowOff>
    </xdr:from>
    <xdr:to>
      <xdr:col>19</xdr:col>
      <xdr:colOff>426720</xdr:colOff>
      <xdr:row>4</xdr:row>
      <xdr:rowOff>144780</xdr:rowOff>
    </xdr:to>
    <xdr:sp macro="" textlink="">
      <xdr:nvSpPr>
        <xdr:cNvPr id="17" name="TextBox 16">
          <a:extLst>
            <a:ext uri="{FF2B5EF4-FFF2-40B4-BE49-F238E27FC236}">
              <a16:creationId xmlns:a16="http://schemas.microsoft.com/office/drawing/2014/main" id="{80D9B999-F14C-6485-0DE6-CD55563731FF}"/>
            </a:ext>
          </a:extLst>
        </xdr:cNvPr>
        <xdr:cNvSpPr txBox="1"/>
      </xdr:nvSpPr>
      <xdr:spPr>
        <a:xfrm>
          <a:off x="327660" y="198120"/>
          <a:ext cx="11681460" cy="678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t>SALES </a:t>
          </a:r>
          <a:r>
            <a:rPr lang="en-IN" sz="4000" b="1" baseline="0"/>
            <a:t> DASHBOARD</a:t>
          </a:r>
          <a:endParaRPr lang="en-IN" sz="40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434340</xdr:colOff>
      <xdr:row>9</xdr:row>
      <xdr:rowOff>38100</xdr:rowOff>
    </xdr:from>
    <xdr:to>
      <xdr:col>8</xdr:col>
      <xdr:colOff>175260</xdr:colOff>
      <xdr:row>23</xdr:row>
      <xdr:rowOff>7620</xdr:rowOff>
    </xdr:to>
    <xdr:sp macro="" textlink="">
      <xdr:nvSpPr>
        <xdr:cNvPr id="5" name="Rectangle: Diagonal Corners Rounded 4">
          <a:extLst>
            <a:ext uri="{FF2B5EF4-FFF2-40B4-BE49-F238E27FC236}">
              <a16:creationId xmlns:a16="http://schemas.microsoft.com/office/drawing/2014/main" id="{765CD0C6-9078-3625-254D-DBDEAA39F207}"/>
            </a:ext>
          </a:extLst>
        </xdr:cNvPr>
        <xdr:cNvSpPr/>
      </xdr:nvSpPr>
      <xdr:spPr>
        <a:xfrm>
          <a:off x="1043940" y="1684020"/>
          <a:ext cx="4008120" cy="2529840"/>
        </a:xfrm>
        <a:prstGeom prst="round2Diag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586740</xdr:colOff>
      <xdr:row>9</xdr:row>
      <xdr:rowOff>167640</xdr:rowOff>
    </xdr:from>
    <xdr:to>
      <xdr:col>8</xdr:col>
      <xdr:colOff>22860</xdr:colOff>
      <xdr:row>22</xdr:row>
      <xdr:rowOff>38100</xdr:rowOff>
    </xdr:to>
    <xdr:graphicFrame macro="">
      <xdr:nvGraphicFramePr>
        <xdr:cNvPr id="6" name="Chart 5">
          <a:extLst>
            <a:ext uri="{FF2B5EF4-FFF2-40B4-BE49-F238E27FC236}">
              <a16:creationId xmlns:a16="http://schemas.microsoft.com/office/drawing/2014/main" id="{B674E140-9355-4D66-8AD9-C7C355091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579120</xdr:colOff>
      <xdr:row>15</xdr:row>
      <xdr:rowOff>60960</xdr:rowOff>
    </xdr:from>
    <xdr:to>
      <xdr:col>15</xdr:col>
      <xdr:colOff>320040</xdr:colOff>
      <xdr:row>29</xdr:row>
      <xdr:rowOff>30480</xdr:rowOff>
    </xdr:to>
    <xdr:sp macro="" textlink="">
      <xdr:nvSpPr>
        <xdr:cNvPr id="7" name="Rectangle: Diagonal Corners Rounded 6">
          <a:extLst>
            <a:ext uri="{FF2B5EF4-FFF2-40B4-BE49-F238E27FC236}">
              <a16:creationId xmlns:a16="http://schemas.microsoft.com/office/drawing/2014/main" id="{E8522BB6-9623-429A-ADD0-FD90EC448774}"/>
            </a:ext>
          </a:extLst>
        </xdr:cNvPr>
        <xdr:cNvSpPr/>
      </xdr:nvSpPr>
      <xdr:spPr>
        <a:xfrm>
          <a:off x="5455920" y="2804160"/>
          <a:ext cx="4008120" cy="2529840"/>
        </a:xfrm>
        <a:prstGeom prst="round2Diag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114300</xdr:colOff>
      <xdr:row>16</xdr:row>
      <xdr:rowOff>0</xdr:rowOff>
    </xdr:from>
    <xdr:to>
      <xdr:col>15</xdr:col>
      <xdr:colOff>220980</xdr:colOff>
      <xdr:row>28</xdr:row>
      <xdr:rowOff>38100</xdr:rowOff>
    </xdr:to>
    <xdr:graphicFrame macro="">
      <xdr:nvGraphicFramePr>
        <xdr:cNvPr id="8" name="Chart 7">
          <a:extLst>
            <a:ext uri="{FF2B5EF4-FFF2-40B4-BE49-F238E27FC236}">
              <a16:creationId xmlns:a16="http://schemas.microsoft.com/office/drawing/2014/main" id="{F0706974-0CC5-4938-8582-F0C215E23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579120</xdr:colOff>
      <xdr:row>15</xdr:row>
      <xdr:rowOff>0</xdr:rowOff>
    </xdr:from>
    <xdr:to>
      <xdr:col>22</xdr:col>
      <xdr:colOff>320040</xdr:colOff>
      <xdr:row>28</xdr:row>
      <xdr:rowOff>152400</xdr:rowOff>
    </xdr:to>
    <xdr:sp macro="" textlink="">
      <xdr:nvSpPr>
        <xdr:cNvPr id="9" name="Rectangle: Diagonal Corners Rounded 8">
          <a:extLst>
            <a:ext uri="{FF2B5EF4-FFF2-40B4-BE49-F238E27FC236}">
              <a16:creationId xmlns:a16="http://schemas.microsoft.com/office/drawing/2014/main" id="{6A3393A8-F3A4-4B24-B46A-07322698E455}"/>
            </a:ext>
          </a:extLst>
        </xdr:cNvPr>
        <xdr:cNvSpPr/>
      </xdr:nvSpPr>
      <xdr:spPr>
        <a:xfrm>
          <a:off x="9723120" y="2743200"/>
          <a:ext cx="4008120" cy="2529840"/>
        </a:xfrm>
        <a:prstGeom prst="round2Diag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106680</xdr:colOff>
      <xdr:row>15</xdr:row>
      <xdr:rowOff>144780</xdr:rowOff>
    </xdr:from>
    <xdr:to>
      <xdr:col>22</xdr:col>
      <xdr:colOff>182880</xdr:colOff>
      <xdr:row>27</xdr:row>
      <xdr:rowOff>152400</xdr:rowOff>
    </xdr:to>
    <xdr:graphicFrame macro="">
      <xdr:nvGraphicFramePr>
        <xdr:cNvPr id="10" name="Chart 9">
          <a:extLst>
            <a:ext uri="{FF2B5EF4-FFF2-40B4-BE49-F238E27FC236}">
              <a16:creationId xmlns:a16="http://schemas.microsoft.com/office/drawing/2014/main" id="{785631C1-C926-4D02-98BF-4158CAD57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144780</xdr:colOff>
      <xdr:row>2</xdr:row>
      <xdr:rowOff>38100</xdr:rowOff>
    </xdr:from>
    <xdr:to>
      <xdr:col>12</xdr:col>
      <xdr:colOff>266700</xdr:colOff>
      <xdr:row>5</xdr:row>
      <xdr:rowOff>45720</xdr:rowOff>
    </xdr:to>
    <xdr:sp macro="" textlink="">
      <xdr:nvSpPr>
        <xdr:cNvPr id="11" name="Rectangle: Rounded Corners 10">
          <a:extLst>
            <a:ext uri="{FF2B5EF4-FFF2-40B4-BE49-F238E27FC236}">
              <a16:creationId xmlns:a16="http://schemas.microsoft.com/office/drawing/2014/main" id="{DFEF3EA3-1B7B-2D59-8C9E-78EB8AF29F1E}"/>
            </a:ext>
          </a:extLst>
        </xdr:cNvPr>
        <xdr:cNvSpPr/>
      </xdr:nvSpPr>
      <xdr:spPr>
        <a:xfrm>
          <a:off x="1363980" y="403860"/>
          <a:ext cx="6217920" cy="55626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tx1"/>
              </a:solidFill>
            </a:rPr>
            <a:t>CUSTOMER </a:t>
          </a:r>
          <a:r>
            <a:rPr lang="en-IN" sz="3200" baseline="0">
              <a:solidFill>
                <a:schemeClr val="tx1"/>
              </a:solidFill>
            </a:rPr>
            <a:t> DASHBOARD</a:t>
          </a:r>
          <a:endParaRPr lang="en-IN" sz="3200">
            <a:solidFill>
              <a:schemeClr val="tx1"/>
            </a:solidFill>
          </a:endParaRPr>
        </a:p>
      </xdr:txBody>
    </xdr:sp>
    <xdr:clientData/>
  </xdr:twoCellAnchor>
  <xdr:twoCellAnchor editAs="oneCell">
    <xdr:from>
      <xdr:col>13</xdr:col>
      <xdr:colOff>525780</xdr:colOff>
      <xdr:row>7</xdr:row>
      <xdr:rowOff>188596</xdr:rowOff>
    </xdr:from>
    <xdr:to>
      <xdr:col>16</xdr:col>
      <xdr:colOff>525780</xdr:colOff>
      <xdr:row>14</xdr:row>
      <xdr:rowOff>36196</xdr:rowOff>
    </xdr:to>
    <mc:AlternateContent xmlns:mc="http://schemas.openxmlformats.org/markup-compatibility/2006" xmlns:a14="http://schemas.microsoft.com/office/drawing/2010/main">
      <mc:Choice Requires="a14">
        <xdr:graphicFrame macro="">
          <xdr:nvGraphicFramePr>
            <xdr:cNvPr id="12" name="Segment 1">
              <a:extLst>
                <a:ext uri="{FF2B5EF4-FFF2-40B4-BE49-F238E27FC236}">
                  <a16:creationId xmlns:a16="http://schemas.microsoft.com/office/drawing/2014/main" id="{FD0B55C9-A82F-F956-21FB-372FD6CA507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450580" y="1522096"/>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607695</xdr:colOff>
      <xdr:row>6</xdr:row>
      <xdr:rowOff>51436</xdr:rowOff>
    </xdr:from>
    <xdr:to>
      <xdr:col>12</xdr:col>
      <xdr:colOff>607695</xdr:colOff>
      <xdr:row>14</xdr:row>
      <xdr:rowOff>51436</xdr:rowOff>
    </xdr:to>
    <mc:AlternateContent xmlns:mc="http://schemas.openxmlformats.org/markup-compatibility/2006" xmlns:a14="http://schemas.microsoft.com/office/drawing/2010/main">
      <mc:Choice Requires="a14">
        <xdr:graphicFrame macro="">
          <xdr:nvGraphicFramePr>
            <xdr:cNvPr id="14" name="Region 2">
              <a:extLst>
                <a:ext uri="{FF2B5EF4-FFF2-40B4-BE49-F238E27FC236}">
                  <a16:creationId xmlns:a16="http://schemas.microsoft.com/office/drawing/2014/main" id="{479DEFF1-9C6F-8749-2853-0FA2193DCA6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094095" y="1194436"/>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10</xdr:col>
      <xdr:colOff>99060</xdr:colOff>
      <xdr:row>4</xdr:row>
      <xdr:rowOff>175260</xdr:rowOff>
    </xdr:from>
    <xdr:to>
      <xdr:col>16</xdr:col>
      <xdr:colOff>571500</xdr:colOff>
      <xdr:row>21</xdr:row>
      <xdr:rowOff>0</xdr:rowOff>
    </xdr:to>
    <xdr:sp macro="" textlink="">
      <xdr:nvSpPr>
        <xdr:cNvPr id="5" name="Rectangle 4">
          <a:extLst>
            <a:ext uri="{FF2B5EF4-FFF2-40B4-BE49-F238E27FC236}">
              <a16:creationId xmlns:a16="http://schemas.microsoft.com/office/drawing/2014/main" id="{121D6A14-1F80-30A8-ECD5-777E94F4E832}"/>
            </a:ext>
          </a:extLst>
        </xdr:cNvPr>
        <xdr:cNvSpPr/>
      </xdr:nvSpPr>
      <xdr:spPr>
        <a:xfrm>
          <a:off x="6195060" y="906780"/>
          <a:ext cx="4130040" cy="2933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167640</xdr:colOff>
      <xdr:row>5</xdr:row>
      <xdr:rowOff>68580</xdr:rowOff>
    </xdr:from>
    <xdr:to>
      <xdr:col>16</xdr:col>
      <xdr:colOff>487680</xdr:colOff>
      <xdr:row>20</xdr:row>
      <xdr:rowOff>98835</xdr:rowOff>
    </xdr:to>
    <xdr:graphicFrame macro="">
      <xdr:nvGraphicFramePr>
        <xdr:cNvPr id="6" name="Chart 5">
          <a:extLst>
            <a:ext uri="{FF2B5EF4-FFF2-40B4-BE49-F238E27FC236}">
              <a16:creationId xmlns:a16="http://schemas.microsoft.com/office/drawing/2014/main" id="{8A01FEEF-A43D-4999-A990-CD32F8228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144780</xdr:colOff>
      <xdr:row>24</xdr:row>
      <xdr:rowOff>7620</xdr:rowOff>
    </xdr:from>
    <xdr:to>
      <xdr:col>17</xdr:col>
      <xdr:colOff>7620</xdr:colOff>
      <xdr:row>40</xdr:row>
      <xdr:rowOff>15240</xdr:rowOff>
    </xdr:to>
    <xdr:sp macro="" textlink="">
      <xdr:nvSpPr>
        <xdr:cNvPr id="7" name="Rectangle 6">
          <a:extLst>
            <a:ext uri="{FF2B5EF4-FFF2-40B4-BE49-F238E27FC236}">
              <a16:creationId xmlns:a16="http://schemas.microsoft.com/office/drawing/2014/main" id="{6BD53666-5059-4CC0-9ED3-8CD4163B0AB4}"/>
            </a:ext>
          </a:extLst>
        </xdr:cNvPr>
        <xdr:cNvSpPr/>
      </xdr:nvSpPr>
      <xdr:spPr>
        <a:xfrm>
          <a:off x="6240780" y="4396740"/>
          <a:ext cx="4130040" cy="293370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259080</xdr:colOff>
      <xdr:row>24</xdr:row>
      <xdr:rowOff>68580</xdr:rowOff>
    </xdr:from>
    <xdr:to>
      <xdr:col>16</xdr:col>
      <xdr:colOff>533399</xdr:colOff>
      <xdr:row>39</xdr:row>
      <xdr:rowOff>83819</xdr:rowOff>
    </xdr:to>
    <xdr:graphicFrame macro="">
      <xdr:nvGraphicFramePr>
        <xdr:cNvPr id="9" name="Chart 8">
          <a:extLst>
            <a:ext uri="{FF2B5EF4-FFF2-40B4-BE49-F238E27FC236}">
              <a16:creationId xmlns:a16="http://schemas.microsoft.com/office/drawing/2014/main" id="{DA97AFDA-CCA1-465C-B564-8CBEC99DC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24</xdr:row>
      <xdr:rowOff>0</xdr:rowOff>
    </xdr:from>
    <xdr:to>
      <xdr:col>8</xdr:col>
      <xdr:colOff>472440</xdr:colOff>
      <xdr:row>40</xdr:row>
      <xdr:rowOff>7620</xdr:rowOff>
    </xdr:to>
    <xdr:sp macro="" textlink="">
      <xdr:nvSpPr>
        <xdr:cNvPr id="10" name="Rectangle 9">
          <a:extLst>
            <a:ext uri="{FF2B5EF4-FFF2-40B4-BE49-F238E27FC236}">
              <a16:creationId xmlns:a16="http://schemas.microsoft.com/office/drawing/2014/main" id="{80CC700F-FF49-4D28-9DFD-5AF2EE790044}"/>
            </a:ext>
          </a:extLst>
        </xdr:cNvPr>
        <xdr:cNvSpPr/>
      </xdr:nvSpPr>
      <xdr:spPr>
        <a:xfrm>
          <a:off x="1219200" y="4389120"/>
          <a:ext cx="4130040" cy="2933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144780</xdr:colOff>
      <xdr:row>24</xdr:row>
      <xdr:rowOff>99060</xdr:rowOff>
    </xdr:from>
    <xdr:to>
      <xdr:col>8</xdr:col>
      <xdr:colOff>350520</xdr:colOff>
      <xdr:row>39</xdr:row>
      <xdr:rowOff>91440</xdr:rowOff>
    </xdr:to>
    <xdr:graphicFrame macro="">
      <xdr:nvGraphicFramePr>
        <xdr:cNvPr id="11" name="Chart 10">
          <a:extLst>
            <a:ext uri="{FF2B5EF4-FFF2-40B4-BE49-F238E27FC236}">
              <a16:creationId xmlns:a16="http://schemas.microsoft.com/office/drawing/2014/main" id="{432D7883-CA04-48B0-B4D1-9AE00BC43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xdr:row>
      <xdr:rowOff>15240</xdr:rowOff>
    </xdr:from>
    <xdr:to>
      <xdr:col>17</xdr:col>
      <xdr:colOff>99060</xdr:colOff>
      <xdr:row>4</xdr:row>
      <xdr:rowOff>76200</xdr:rowOff>
    </xdr:to>
    <xdr:sp macro="" textlink="">
      <xdr:nvSpPr>
        <xdr:cNvPr id="12" name="Rectangle 11">
          <a:extLst>
            <a:ext uri="{FF2B5EF4-FFF2-40B4-BE49-F238E27FC236}">
              <a16:creationId xmlns:a16="http://schemas.microsoft.com/office/drawing/2014/main" id="{FFFD5BD0-9F35-572D-2C63-52ED4B15037F}"/>
            </a:ext>
          </a:extLst>
        </xdr:cNvPr>
        <xdr:cNvSpPr/>
      </xdr:nvSpPr>
      <xdr:spPr>
        <a:xfrm>
          <a:off x="609600" y="198120"/>
          <a:ext cx="9852660" cy="60960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tx1"/>
              </a:solidFill>
            </a:rPr>
            <a:t>  INVENTORY</a:t>
          </a:r>
          <a:r>
            <a:rPr lang="en-IN" sz="3200" baseline="0">
              <a:solidFill>
                <a:schemeClr val="tx1"/>
              </a:solidFill>
            </a:rPr>
            <a:t> DASHBOARD</a:t>
          </a:r>
          <a:endParaRPr lang="en-IN" sz="3200">
            <a:solidFill>
              <a:schemeClr val="tx1"/>
            </a:solidFill>
          </a:endParaRPr>
        </a:p>
      </xdr:txBody>
    </xdr:sp>
    <xdr:clientData/>
  </xdr:twoCellAnchor>
  <xdr:twoCellAnchor editAs="oneCell">
    <xdr:from>
      <xdr:col>6</xdr:col>
      <xdr:colOff>68580</xdr:colOff>
      <xdr:row>6</xdr:row>
      <xdr:rowOff>45720</xdr:rowOff>
    </xdr:from>
    <xdr:to>
      <xdr:col>9</xdr:col>
      <xdr:colOff>68580</xdr:colOff>
      <xdr:row>19</xdr:row>
      <xdr:rowOff>135255</xdr:rowOff>
    </xdr:to>
    <mc:AlternateContent xmlns:mc="http://schemas.openxmlformats.org/markup-compatibility/2006" xmlns:a14="http://schemas.microsoft.com/office/drawing/2010/main">
      <mc:Choice Requires="a14">
        <xdr:graphicFrame macro="">
          <xdr:nvGraphicFramePr>
            <xdr:cNvPr id="13" name="Category 2">
              <a:extLst>
                <a:ext uri="{FF2B5EF4-FFF2-40B4-BE49-F238E27FC236}">
                  <a16:creationId xmlns:a16="http://schemas.microsoft.com/office/drawing/2014/main" id="{E3A13BC3-ECF0-A9CB-6717-AE5D7410E7F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3726180" y="114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213360</xdr:colOff>
      <xdr:row>6</xdr:row>
      <xdr:rowOff>15240</xdr:rowOff>
    </xdr:from>
    <xdr:to>
      <xdr:col>5</xdr:col>
      <xdr:colOff>213360</xdr:colOff>
      <xdr:row>19</xdr:row>
      <xdr:rowOff>104775</xdr:rowOff>
    </xdr:to>
    <mc:AlternateContent xmlns:mc="http://schemas.openxmlformats.org/markup-compatibility/2006" xmlns:a14="http://schemas.microsoft.com/office/drawing/2010/main">
      <mc:Choice Requires="a14">
        <xdr:graphicFrame macro="">
          <xdr:nvGraphicFramePr>
            <xdr:cNvPr id="14" name="Region 3">
              <a:extLst>
                <a:ext uri="{FF2B5EF4-FFF2-40B4-BE49-F238E27FC236}">
                  <a16:creationId xmlns:a16="http://schemas.microsoft.com/office/drawing/2014/main" id="{94510D0C-4CC6-D9C8-7091-6F8D8BD70AF7}"/>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432560" y="1112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533400</xdr:colOff>
      <xdr:row>7</xdr:row>
      <xdr:rowOff>30480</xdr:rowOff>
    </xdr:from>
    <xdr:to>
      <xdr:col>7</xdr:col>
      <xdr:colOff>388620</xdr:colOff>
      <xdr:row>21</xdr:row>
      <xdr:rowOff>60960</xdr:rowOff>
    </xdr:to>
    <xdr:sp macro="" textlink="">
      <xdr:nvSpPr>
        <xdr:cNvPr id="12" name="Rectangle: Rounded Corners 11">
          <a:extLst>
            <a:ext uri="{FF2B5EF4-FFF2-40B4-BE49-F238E27FC236}">
              <a16:creationId xmlns:a16="http://schemas.microsoft.com/office/drawing/2014/main" id="{9AD10C22-72D9-11C9-C82F-EE4AC59F541A}"/>
            </a:ext>
          </a:extLst>
        </xdr:cNvPr>
        <xdr:cNvSpPr/>
      </xdr:nvSpPr>
      <xdr:spPr>
        <a:xfrm>
          <a:off x="533400" y="1310640"/>
          <a:ext cx="4122420" cy="2590800"/>
        </a:xfrm>
        <a:prstGeom prst="roundRect">
          <a:avLst/>
        </a:prstGeom>
        <a:solidFill>
          <a:srgbClr val="8F66A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114300</xdr:colOff>
      <xdr:row>7</xdr:row>
      <xdr:rowOff>175261</xdr:rowOff>
    </xdr:from>
    <xdr:to>
      <xdr:col>7</xdr:col>
      <xdr:colOff>213360</xdr:colOff>
      <xdr:row>20</xdr:row>
      <xdr:rowOff>129541</xdr:rowOff>
    </xdr:to>
    <xdr:graphicFrame macro="">
      <xdr:nvGraphicFramePr>
        <xdr:cNvPr id="13" name="Chart 12">
          <a:extLst>
            <a:ext uri="{FF2B5EF4-FFF2-40B4-BE49-F238E27FC236}">
              <a16:creationId xmlns:a16="http://schemas.microsoft.com/office/drawing/2014/main" id="{C154FD33-B826-4AC4-BD58-E2EE33FC7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472440</xdr:colOff>
      <xdr:row>23</xdr:row>
      <xdr:rowOff>60960</xdr:rowOff>
    </xdr:from>
    <xdr:to>
      <xdr:col>16</xdr:col>
      <xdr:colOff>419100</xdr:colOff>
      <xdr:row>37</xdr:row>
      <xdr:rowOff>91440</xdr:rowOff>
    </xdr:to>
    <xdr:sp macro="" textlink="">
      <xdr:nvSpPr>
        <xdr:cNvPr id="14" name="Rectangle: Rounded Corners 13">
          <a:extLst>
            <a:ext uri="{FF2B5EF4-FFF2-40B4-BE49-F238E27FC236}">
              <a16:creationId xmlns:a16="http://schemas.microsoft.com/office/drawing/2014/main" id="{315406F8-7E46-435D-AB53-9E1E9FCA7184}"/>
            </a:ext>
          </a:extLst>
        </xdr:cNvPr>
        <xdr:cNvSpPr/>
      </xdr:nvSpPr>
      <xdr:spPr>
        <a:xfrm>
          <a:off x="5349240" y="4267200"/>
          <a:ext cx="4823460" cy="2590800"/>
        </a:xfrm>
        <a:prstGeom prst="roundRect">
          <a:avLst/>
        </a:prstGeom>
        <a:solidFill>
          <a:srgbClr val="8F66A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30480</xdr:colOff>
      <xdr:row>24</xdr:row>
      <xdr:rowOff>0</xdr:rowOff>
    </xdr:from>
    <xdr:to>
      <xdr:col>16</xdr:col>
      <xdr:colOff>205740</xdr:colOff>
      <xdr:row>36</xdr:row>
      <xdr:rowOff>129540</xdr:rowOff>
    </xdr:to>
    <xdr:graphicFrame macro="">
      <xdr:nvGraphicFramePr>
        <xdr:cNvPr id="15" name="Chart 14">
          <a:extLst>
            <a:ext uri="{FF2B5EF4-FFF2-40B4-BE49-F238E27FC236}">
              <a16:creationId xmlns:a16="http://schemas.microsoft.com/office/drawing/2014/main" id="{D2FF61C7-B473-481D-BF23-11D034B78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556260</xdr:colOff>
      <xdr:row>23</xdr:row>
      <xdr:rowOff>129540</xdr:rowOff>
    </xdr:from>
    <xdr:to>
      <xdr:col>7</xdr:col>
      <xdr:colOff>411480</xdr:colOff>
      <xdr:row>37</xdr:row>
      <xdr:rowOff>160020</xdr:rowOff>
    </xdr:to>
    <xdr:sp macro="" textlink="">
      <xdr:nvSpPr>
        <xdr:cNvPr id="16" name="Rectangle: Rounded Corners 15">
          <a:extLst>
            <a:ext uri="{FF2B5EF4-FFF2-40B4-BE49-F238E27FC236}">
              <a16:creationId xmlns:a16="http://schemas.microsoft.com/office/drawing/2014/main" id="{748D8173-6C5D-42D9-B697-CD84382BC818}"/>
            </a:ext>
          </a:extLst>
        </xdr:cNvPr>
        <xdr:cNvSpPr/>
      </xdr:nvSpPr>
      <xdr:spPr>
        <a:xfrm>
          <a:off x="556260" y="4335780"/>
          <a:ext cx="4122420" cy="2590800"/>
        </a:xfrm>
        <a:prstGeom prst="roundRect">
          <a:avLst/>
        </a:prstGeom>
        <a:solidFill>
          <a:srgbClr val="8F66A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144780</xdr:colOff>
      <xdr:row>24</xdr:row>
      <xdr:rowOff>91440</xdr:rowOff>
    </xdr:from>
    <xdr:to>
      <xdr:col>7</xdr:col>
      <xdr:colOff>236220</xdr:colOff>
      <xdr:row>37</xdr:row>
      <xdr:rowOff>53340</xdr:rowOff>
    </xdr:to>
    <xdr:graphicFrame macro="">
      <xdr:nvGraphicFramePr>
        <xdr:cNvPr id="17" name="Chart 16">
          <a:extLst>
            <a:ext uri="{FF2B5EF4-FFF2-40B4-BE49-F238E27FC236}">
              <a16:creationId xmlns:a16="http://schemas.microsoft.com/office/drawing/2014/main" id="{6E2C123C-1BF0-46B7-93E0-62B27A837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548640</xdr:colOff>
      <xdr:row>1</xdr:row>
      <xdr:rowOff>22860</xdr:rowOff>
    </xdr:from>
    <xdr:to>
      <xdr:col>16</xdr:col>
      <xdr:colOff>144780</xdr:colOff>
      <xdr:row>4</xdr:row>
      <xdr:rowOff>68580</xdr:rowOff>
    </xdr:to>
    <xdr:sp macro="" textlink="">
      <xdr:nvSpPr>
        <xdr:cNvPr id="18" name="Rectangle: Rounded Corners 17">
          <a:extLst>
            <a:ext uri="{FF2B5EF4-FFF2-40B4-BE49-F238E27FC236}">
              <a16:creationId xmlns:a16="http://schemas.microsoft.com/office/drawing/2014/main" id="{6CD89B7B-DA50-FA42-6351-FFBFAB89A263}"/>
            </a:ext>
          </a:extLst>
        </xdr:cNvPr>
        <xdr:cNvSpPr/>
      </xdr:nvSpPr>
      <xdr:spPr>
        <a:xfrm>
          <a:off x="548640" y="205740"/>
          <a:ext cx="934974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                                  FORECAST</a:t>
          </a:r>
          <a:r>
            <a:rPr lang="en-IN" sz="2800" baseline="0"/>
            <a:t> DASHBOARD </a:t>
          </a:r>
          <a:endParaRPr lang="en-IN" sz="2800"/>
        </a:p>
      </xdr:txBody>
    </xdr:sp>
    <xdr:clientData/>
  </xdr:twoCellAnchor>
  <xdr:twoCellAnchor editAs="oneCell">
    <xdr:from>
      <xdr:col>8</xdr:col>
      <xdr:colOff>182880</xdr:colOff>
      <xdr:row>6</xdr:row>
      <xdr:rowOff>114300</xdr:rowOff>
    </xdr:from>
    <xdr:to>
      <xdr:col>11</xdr:col>
      <xdr:colOff>182880</xdr:colOff>
      <xdr:row>20</xdr:row>
      <xdr:rowOff>160020</xdr:rowOff>
    </xdr:to>
    <mc:AlternateContent xmlns:mc="http://schemas.openxmlformats.org/markup-compatibility/2006" xmlns:a14="http://schemas.microsoft.com/office/drawing/2010/main">
      <mc:Choice Requires="a14">
        <xdr:graphicFrame macro="">
          <xdr:nvGraphicFramePr>
            <xdr:cNvPr id="19" name="Month 3">
              <a:extLst>
                <a:ext uri="{FF2B5EF4-FFF2-40B4-BE49-F238E27FC236}">
                  <a16:creationId xmlns:a16="http://schemas.microsoft.com/office/drawing/2014/main" id="{77E8B3F3-0D3E-D796-9AAF-00653A2EA44E}"/>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5059680" y="1211580"/>
              <a:ext cx="1828800" cy="2606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297180</xdr:colOff>
      <xdr:row>13</xdr:row>
      <xdr:rowOff>91441</xdr:rowOff>
    </xdr:from>
    <xdr:to>
      <xdr:col>15</xdr:col>
      <xdr:colOff>312420</xdr:colOff>
      <xdr:row>21</xdr:row>
      <xdr:rowOff>60961</xdr:rowOff>
    </xdr:to>
    <mc:AlternateContent xmlns:mc="http://schemas.openxmlformats.org/markup-compatibility/2006" xmlns:a14="http://schemas.microsoft.com/office/drawing/2010/main">
      <mc:Choice Requires="a14">
        <xdr:graphicFrame macro="">
          <xdr:nvGraphicFramePr>
            <xdr:cNvPr id="20" name="Region 4">
              <a:extLst>
                <a:ext uri="{FF2B5EF4-FFF2-40B4-BE49-F238E27FC236}">
                  <a16:creationId xmlns:a16="http://schemas.microsoft.com/office/drawing/2014/main" id="{E5CCB0BE-2686-E23F-BC8B-9F61B70DADF3}"/>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7612380" y="2468881"/>
              <a:ext cx="184404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556260</xdr:colOff>
      <xdr:row>6</xdr:row>
      <xdr:rowOff>160021</xdr:rowOff>
    </xdr:from>
    <xdr:to>
      <xdr:col>16</xdr:col>
      <xdr:colOff>220980</xdr:colOff>
      <xdr:row>13</xdr:row>
      <xdr:rowOff>15241</xdr:rowOff>
    </xdr:to>
    <mc:AlternateContent xmlns:mc="http://schemas.openxmlformats.org/markup-compatibility/2006" xmlns:a14="http://schemas.microsoft.com/office/drawing/2010/main">
      <mc:Choice Requires="a14">
        <xdr:graphicFrame macro="">
          <xdr:nvGraphicFramePr>
            <xdr:cNvPr id="21" name="Segment 2">
              <a:extLst>
                <a:ext uri="{FF2B5EF4-FFF2-40B4-BE49-F238E27FC236}">
                  <a16:creationId xmlns:a16="http://schemas.microsoft.com/office/drawing/2014/main" id="{BE3DA593-8B55-4450-7BE7-66C46453776E}"/>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8481060" y="1257301"/>
              <a:ext cx="149352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6</xdr:row>
      <xdr:rowOff>129541</xdr:rowOff>
    </xdr:from>
    <xdr:to>
      <xdr:col>13</xdr:col>
      <xdr:colOff>464820</xdr:colOff>
      <xdr:row>13</xdr:row>
      <xdr:rowOff>15241</xdr:rowOff>
    </xdr:to>
    <mc:AlternateContent xmlns:mc="http://schemas.openxmlformats.org/markup-compatibility/2006" xmlns:a14="http://schemas.microsoft.com/office/drawing/2010/main">
      <mc:Choice Requires="a14">
        <xdr:graphicFrame macro="">
          <xdr:nvGraphicFramePr>
            <xdr:cNvPr id="22" name="Category 3">
              <a:extLst>
                <a:ext uri="{FF2B5EF4-FFF2-40B4-BE49-F238E27FC236}">
                  <a16:creationId xmlns:a16="http://schemas.microsoft.com/office/drawing/2014/main" id="{398DD6AE-7A62-1172-541E-6C66D3E52C17}"/>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6987540" y="1226821"/>
              <a:ext cx="140208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4.990731828701" backgroundQuery="1" createdVersion="8" refreshedVersion="8" minRefreshableVersion="3" recordCount="0" supportSubquery="1" supportAdvancedDrill="1" xr:uid="{E65851CF-D5AC-4722-B910-BC7D4AEEC306}">
  <cacheSource type="external" connectionId="1"/>
  <cacheFields count="2">
    <cacheField name="[Dim_Product].[Category].[Category]" caption="Category" numFmtId="0" hierarchy="16" level="1">
      <sharedItems count="3">
        <s v="Electronics"/>
        <s v="Furniture"/>
        <s v="Office Supplies"/>
      </sharedItems>
    </cacheField>
    <cacheField name="[Measures].[Sum of Sales]" caption="Sum of Sales" numFmtId="0" hierarchy="52" level="32767"/>
  </cacheFields>
  <cacheHierarchies count="6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Month]" caption="Month" attribute="1" time="1" defaultMemberUniqueName="[Dim_Date].[Month].[All]" allUniqueName="[Dim_Date].[Month].[All]" dimensionUniqueName="[Dim_Date]" displayFolder="" count="2" memberValueDatatype="7" unbalanced="0"/>
    <cacheHierarchy uniqueName="[Dim_Date].[Target Sales]" caption="Target Sales" attribute="1" defaultMemberUniqueName="[Dim_Date].[Target Sales].[All]" allUniqueName="[Dim_Date].[Target Sales].[All]" dimensionUniqueName="[Dim_Date]" displayFolder="" count="0" memberValueDatatype="20" unbalanced="0"/>
    <cacheHierarchy uniqueName="[Dim_Date].[Target achivement]" caption="Target achivement" attribute="1" defaultMemberUniqueName="[Dim_Date].[Target achivement].[All]" allUniqueName="[Dim_Date].[Target achivement].[All]" dimensionUniqueName="[Dim_Date]" displayFolder="" count="0" memberValueDatatype="5" unbalanced="0"/>
    <cacheHierarchy uniqueName="[Dim_Date].[Month (Month)]" caption="Month (Month)" attribute="1" defaultMemberUniqueName="[Dim_Date].[Month (Month)].[All]" allUniqueName="[Dim_Date].[Month (Month)].[All]" dimensionUniqueName="[Dim_Date]" displayFolder="" count="0" memberValueDatatype="130" unbalanced="0"/>
    <cacheHierarchy uniqueName="[Dim_Inventory].[ProductID]" caption="ProductID" attribute="1" defaultMemberUniqueName="[Dim_Inventory].[ProductID].[All]" allUniqueName="[Dim_Inventory].[ProductID].[All]" dimensionUniqueName="[Dim_Inventory]" displayFolder="" count="0" memberValueDatatype="130" unbalanced="0"/>
    <cacheHierarchy uniqueName="[Dim_Inventory].[Current Stock]" caption="Current Stock" attribute="1" defaultMemberUniqueName="[Dim_Inventory].[Current Stock].[All]" allUniqueName="[Dim_Inventory].[Current Stock].[All]" dimensionUniqueName="[Dim_Inventory]" displayFolder="" count="0" memberValueDatatype="20" unbalanced="0"/>
    <cacheHierarchy uniqueName="[Dim_Inventory].[Reorder Level]" caption="Reorder Level" attribute="1" defaultMemberUniqueName="[Dim_Inventory].[Reorder Level].[All]" allUniqueName="[Dim_Inventory].[Reorder Level].[All]" dimensionUniqueName="[Dim_Inventory]" displayFolder="" count="0" memberValueDatatype="20" unbalanced="0"/>
    <cacheHierarchy uniqueName="[Dim_Inventory].[Reorder alert]" caption="Reorder alert" attribute="1" defaultMemberUniqueName="[Dim_Inventory].[Reorder alert].[All]" allUniqueName="[Dim_Inventory].[Reorder alert].[All]" dimensionUniqueName="[Dim_Inventory]" displayFolder="" count="0" memberValueDatatype="130" unbalanced="0"/>
    <cacheHierarchy uniqueName="[Dim_Inventory].[Dead stock alert]" caption="Dead stock alert" attribute="1" defaultMemberUniqueName="[Dim_Inventory].[Dead stock alert].[All]" allUniqueName="[Dim_Inventory].[Dead stock alert].[All]" dimensionUniqueName="[Dim_Inventory]"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Cost Price]" caption="Cost Price" attribute="1" defaultMemberUniqueName="[Dim_Product].[Cost Price].[All]" allUniqueName="[Dim_Product].[Cost Price].[All]" dimensionUniqueName="[Dim_Product]"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avg order value]" caption="avg order value" attribute="1" defaultMemberUniqueName="[Table1].[avg order value].[All]" allUniqueName="[Table1].[avg order valu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2" memberValueDatatype="130" unbalanced="0"/>
    <cacheHierarchy uniqueName="[Dim_Date].[Month (Month Index)]" caption="Month (Month Index)" attribute="1" defaultMemberUniqueName="[Dim_Date].[Month (Month Index)].[All]" allUniqueName="[Dim_Date].[Month (Month Index)].[All]" dimensionUniqueName="[Dim_Dat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Profit Margin %]" caption="Profit Margin %" measure="1" displayFolder="" measureGroup="Table1" count="0"/>
    <cacheHierarchy uniqueName="[Measures].[Average Order Value]" caption="Average Order Value" measure="1" displayFolder="" measureGroup="Table1" count="0"/>
    <cacheHierarchy uniqueName="[Measures].[No.of Orders]" caption="No.of Orders" measure="1" displayFolder="" measureGroup="Table1" count="0"/>
    <cacheHierarchy uniqueName="[Measures].[No.of cust]" caption="No.of cust" measure="1" displayFolder="" measureGroup="Table1" count="0"/>
    <cacheHierarchy uniqueName="[Measures].[Inventory turnover]" caption="Inventory turnover" measure="1" displayFolder="" measureGroup="Table1" count="0"/>
    <cacheHierarchy uniqueName="[Measures].[target Achievement %]" caption="target Achievement %" measure="1" displayFolder="" measureGroup="Table1" count="0"/>
    <cacheHierarchy uniqueName="[Measures].[repeat customer]" caption="repeat customer" measure="1" displayFolder="" measureGroup="Table1" count="0"/>
    <cacheHierarchy uniqueName="[Measures].[New Customers]" caption="New Customers" measure="1" displayFolder="" measureGroup="Table1" count="0"/>
    <cacheHierarchy uniqueName="[Measures].[Retention Rate]" caption="Retention Rate" measure="1" displayFolder="" measureGroup="Table1" count="0"/>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hidden="1">
      <extLst>
        <ext xmlns:x15="http://schemas.microsoft.com/office/spreadsheetml/2010/11/main" uri="{B97F6D7D-B522-45F9-BDA1-12C45D357490}">
          <x15:cacheHierarchy aggregatedColumn="6"/>
        </ext>
      </extLst>
    </cacheHierarchy>
  </cacheHierarchies>
  <kpis count="0"/>
  <dimensions count="7">
    <dimension name="Dim_Customer" uniqueName="[Dim_Customer]" caption="Dim_Customer"/>
    <dimension name="Dim_Date" uniqueName="[Dim_Date]" caption="Dim_Date"/>
    <dimension name="Dim_Inventory" uniqueName="[Dim_Inventory]" caption="Dim_Inventory"/>
    <dimension name="Dim_Product" uniqueName="[Dim_Product]" caption="Dim_Product"/>
    <dimension measure="1" name="Measures" uniqueName="[Measures]" caption="Measures"/>
    <dimension name="Table1" uniqueName="[Table1]" caption="Table1"/>
    <dimension name="Table7" uniqueName="[Table7]" caption="Table7"/>
  </dimensions>
  <measureGroups count="6">
    <measureGroup name="Dim_Customer" caption="Dim_Customer"/>
    <measureGroup name="Dim_Date" caption="Dim_Date"/>
    <measureGroup name="Dim_Inventory" caption="Dim_Inventory"/>
    <measureGroup name="Dim_Product" caption="Dim_Product"/>
    <measureGroup name="Table1" caption="Table1"/>
    <measureGroup name="Table7" caption="Table7"/>
  </measureGroups>
  <maps count="12">
    <map measureGroup="0" dimension="0"/>
    <map measureGroup="0" dimension="6"/>
    <map measureGroup="1" dimension="1"/>
    <map measureGroup="2" dimension="2"/>
    <map measureGroup="3" dimension="2"/>
    <map measureGroup="3" dimension="3"/>
    <map measureGroup="4" dimension="0"/>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4.99073229167" backgroundQuery="1" createdVersion="8" refreshedVersion="8" minRefreshableVersion="3" recordCount="0" supportSubquery="1" supportAdvancedDrill="1" xr:uid="{118A63E0-23E8-4869-A5D0-864C7BE208B7}">
  <cacheSource type="external" connectionId="1"/>
  <cacheFields count="3">
    <cacheField name="[Table7].[Region].[Region]" caption="Region" numFmtId="0" hierarchy="29" level="1">
      <sharedItems count="4">
        <s v="East"/>
        <s v="North"/>
        <s v="South"/>
        <s v="West"/>
      </sharedItems>
    </cacheField>
    <cacheField name="[Measures].[Sum of Sales]" caption="Sum of Sales" numFmtId="0" hierarchy="52" level="32767"/>
    <cacheField name="[Dim_Product].[Category].[Category]" caption="Category" numFmtId="0" hierarchy="16" level="1">
      <sharedItems containsSemiMixedTypes="0" containsNonDate="0" containsString="0"/>
    </cacheField>
  </cacheFields>
  <cacheHierarchies count="6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Month]" caption="Month" attribute="1" time="1" defaultMemberUniqueName="[Dim_Date].[Month].[All]" allUniqueName="[Dim_Date].[Month].[All]" dimensionUniqueName="[Dim_Date]" displayFolder="" count="2" memberValueDatatype="7" unbalanced="0"/>
    <cacheHierarchy uniqueName="[Dim_Date].[Target Sales]" caption="Target Sales" attribute="1" defaultMemberUniqueName="[Dim_Date].[Target Sales].[All]" allUniqueName="[Dim_Date].[Target Sales].[All]" dimensionUniqueName="[Dim_Date]" displayFolder="" count="0" memberValueDatatype="20" unbalanced="0"/>
    <cacheHierarchy uniqueName="[Dim_Date].[Target achivement]" caption="Target achivement" attribute="1" defaultMemberUniqueName="[Dim_Date].[Target achivement].[All]" allUniqueName="[Dim_Date].[Target achivement].[All]" dimensionUniqueName="[Dim_Date]" displayFolder="" count="0" memberValueDatatype="5" unbalanced="0"/>
    <cacheHierarchy uniqueName="[Dim_Date].[Month (Month)]" caption="Month (Month)" attribute="1" defaultMemberUniqueName="[Dim_Date].[Month (Month)].[All]" allUniqueName="[Dim_Date].[Month (Month)].[All]" dimensionUniqueName="[Dim_Date]" displayFolder="" count="0" memberValueDatatype="130" unbalanced="0"/>
    <cacheHierarchy uniqueName="[Dim_Inventory].[ProductID]" caption="ProductID" attribute="1" defaultMemberUniqueName="[Dim_Inventory].[ProductID].[All]" allUniqueName="[Dim_Inventory].[ProductID].[All]" dimensionUniqueName="[Dim_Inventory]" displayFolder="" count="0" memberValueDatatype="130" unbalanced="0"/>
    <cacheHierarchy uniqueName="[Dim_Inventory].[Current Stock]" caption="Current Stock" attribute="1" defaultMemberUniqueName="[Dim_Inventory].[Current Stock].[All]" allUniqueName="[Dim_Inventory].[Current Stock].[All]" dimensionUniqueName="[Dim_Inventory]" displayFolder="" count="0" memberValueDatatype="20" unbalanced="0"/>
    <cacheHierarchy uniqueName="[Dim_Inventory].[Reorder Level]" caption="Reorder Level" attribute="1" defaultMemberUniqueName="[Dim_Inventory].[Reorder Level].[All]" allUniqueName="[Dim_Inventory].[Reorder Level].[All]" dimensionUniqueName="[Dim_Inventory]" displayFolder="" count="0" memberValueDatatype="20" unbalanced="0"/>
    <cacheHierarchy uniqueName="[Dim_Inventory].[Reorder alert]" caption="Reorder alert" attribute="1" defaultMemberUniqueName="[Dim_Inventory].[Reorder alert].[All]" allUniqueName="[Dim_Inventory].[Reorder alert].[All]" dimensionUniqueName="[Dim_Inventory]" displayFolder="" count="0" memberValueDatatype="130" unbalanced="0"/>
    <cacheHierarchy uniqueName="[Dim_Inventory].[Dead stock alert]" caption="Dead stock alert" attribute="1" defaultMemberUniqueName="[Dim_Inventory].[Dead stock alert].[All]" allUniqueName="[Dim_Inventory].[Dead stock alert].[All]" dimensionUniqueName="[Dim_Inventory]"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Dim_Product].[Cost Price]" caption="Cost Price" attribute="1" defaultMemberUniqueName="[Dim_Product].[Cost Price].[All]" allUniqueName="[Dim_Product].[Cost Price].[All]" dimensionUniqueName="[Dim_Product]"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avg order value]" caption="avg order value" attribute="1" defaultMemberUniqueName="[Table1].[avg order value].[All]" allUniqueName="[Table1].[avg order valu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2" memberValueDatatype="130" unbalanced="0">
      <fieldsUsage count="2">
        <fieldUsage x="-1"/>
        <fieldUsage x="0"/>
      </fieldsUsage>
    </cacheHierarchy>
    <cacheHierarchy uniqueName="[Dim_Date].[Month (Month Index)]" caption="Month (Month Index)" attribute="1" defaultMemberUniqueName="[Dim_Date].[Month (Month Index)].[All]" allUniqueName="[Dim_Date].[Month (Month Index)].[All]" dimensionUniqueName="[Dim_Dat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Profit Margin %]" caption="Profit Margin %" measure="1" displayFolder="" measureGroup="Table1" count="0"/>
    <cacheHierarchy uniqueName="[Measures].[Average Order Value]" caption="Average Order Value" measure="1" displayFolder="" measureGroup="Table1" count="0"/>
    <cacheHierarchy uniqueName="[Measures].[No.of Orders]" caption="No.of Orders" measure="1" displayFolder="" measureGroup="Table1" count="0"/>
    <cacheHierarchy uniqueName="[Measures].[No.of cust]" caption="No.of cust" measure="1" displayFolder="" measureGroup="Table1" count="0"/>
    <cacheHierarchy uniqueName="[Measures].[Inventory turnover]" caption="Inventory turnover" measure="1" displayFolder="" measureGroup="Table1" count="0"/>
    <cacheHierarchy uniqueName="[Measures].[target Achievement %]" caption="target Achievement %" measure="1" displayFolder="" measureGroup="Table1" count="0"/>
    <cacheHierarchy uniqueName="[Measures].[repeat customer]" caption="repeat customer" measure="1" displayFolder="" measureGroup="Table1" count="0"/>
    <cacheHierarchy uniqueName="[Measures].[New Customers]" caption="New Customers" measure="1" displayFolder="" measureGroup="Table1" count="0"/>
    <cacheHierarchy uniqueName="[Measures].[Retention Rate]" caption="Retention Rate" measure="1" displayFolder="" measureGroup="Table1" count="0"/>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hidden="1">
      <extLst>
        <ext xmlns:x15="http://schemas.microsoft.com/office/spreadsheetml/2010/11/main" uri="{B97F6D7D-B522-45F9-BDA1-12C45D357490}">
          <x15:cacheHierarchy aggregatedColumn="6"/>
        </ext>
      </extLst>
    </cacheHierarchy>
  </cacheHierarchies>
  <kpis count="0"/>
  <dimensions count="7">
    <dimension name="Dim_Customer" uniqueName="[Dim_Customer]" caption="Dim_Customer"/>
    <dimension name="Dim_Date" uniqueName="[Dim_Date]" caption="Dim_Date"/>
    <dimension name="Dim_Inventory" uniqueName="[Dim_Inventory]" caption="Dim_Inventory"/>
    <dimension name="Dim_Product" uniqueName="[Dim_Product]" caption="Dim_Product"/>
    <dimension measure="1" name="Measures" uniqueName="[Measures]" caption="Measures"/>
    <dimension name="Table1" uniqueName="[Table1]" caption="Table1"/>
    <dimension name="Table7" uniqueName="[Table7]" caption="Table7"/>
  </dimensions>
  <measureGroups count="6">
    <measureGroup name="Dim_Customer" caption="Dim_Customer"/>
    <measureGroup name="Dim_Date" caption="Dim_Date"/>
    <measureGroup name="Dim_Inventory" caption="Dim_Inventory"/>
    <measureGroup name="Dim_Product" caption="Dim_Product"/>
    <measureGroup name="Table1" caption="Table1"/>
    <measureGroup name="Table7" caption="Table7"/>
  </measureGroups>
  <maps count="12">
    <map measureGroup="0" dimension="0"/>
    <map measureGroup="0" dimension="6"/>
    <map measureGroup="1" dimension="1"/>
    <map measureGroup="2" dimension="2"/>
    <map measureGroup="3" dimension="2"/>
    <map measureGroup="3" dimension="3"/>
    <map measureGroup="4" dimension="0"/>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4.99073287037" backgroundQuery="1" createdVersion="8" refreshedVersion="8" minRefreshableVersion="3" recordCount="0" supportSubquery="1" supportAdvancedDrill="1" xr:uid="{52A2F935-4BA5-48EE-8C27-E8A81BAEEDDC}">
  <cacheSource type="external" connectionId="1"/>
  <cacheFields count="3">
    <cacheField name="[Dim_Date].[Month].[Month]" caption="Month" numFmtId="0" hierarchy="5" level="1">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cacheField>
    <cacheField name="[Measures].[Count of Sales]" caption="Count of Sales" numFmtId="0" hierarchy="54" level="32767"/>
    <cacheField name="[Dim_Product].[Category].[Category]" caption="Category" numFmtId="0" hierarchy="16" level="1">
      <sharedItems containsSemiMixedTypes="0" containsNonDate="0" containsString="0"/>
    </cacheField>
  </cacheFields>
  <cacheHierarchies count="6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Month]" caption="Month" attribute="1" time="1" defaultMemberUniqueName="[Dim_Date].[Month].[All]" allUniqueName="[Dim_Date].[Month].[All]" dimensionUniqueName="[Dim_Date]" displayFolder="" count="2" memberValueDatatype="7" unbalanced="0">
      <fieldsUsage count="2">
        <fieldUsage x="-1"/>
        <fieldUsage x="0"/>
      </fieldsUsage>
    </cacheHierarchy>
    <cacheHierarchy uniqueName="[Dim_Date].[Target Sales]" caption="Target Sales" attribute="1" defaultMemberUniqueName="[Dim_Date].[Target Sales].[All]" allUniqueName="[Dim_Date].[Target Sales].[All]" dimensionUniqueName="[Dim_Date]" displayFolder="" count="0" memberValueDatatype="20" unbalanced="0"/>
    <cacheHierarchy uniqueName="[Dim_Date].[Target achivement]" caption="Target achivement" attribute="1" defaultMemberUniqueName="[Dim_Date].[Target achivement].[All]" allUniqueName="[Dim_Date].[Target achivement].[All]" dimensionUniqueName="[Dim_Date]" displayFolder="" count="0" memberValueDatatype="5" unbalanced="0"/>
    <cacheHierarchy uniqueName="[Dim_Date].[Month (Month)]" caption="Month (Month)" attribute="1" defaultMemberUniqueName="[Dim_Date].[Month (Month)].[All]" allUniqueName="[Dim_Date].[Month (Month)].[All]" dimensionUniqueName="[Dim_Date]" displayFolder="" count="0" memberValueDatatype="130" unbalanced="0"/>
    <cacheHierarchy uniqueName="[Dim_Inventory].[ProductID]" caption="ProductID" attribute="1" defaultMemberUniqueName="[Dim_Inventory].[ProductID].[All]" allUniqueName="[Dim_Inventory].[ProductID].[All]" dimensionUniqueName="[Dim_Inventory]" displayFolder="" count="0" memberValueDatatype="130" unbalanced="0"/>
    <cacheHierarchy uniqueName="[Dim_Inventory].[Current Stock]" caption="Current Stock" attribute="1" defaultMemberUniqueName="[Dim_Inventory].[Current Stock].[All]" allUniqueName="[Dim_Inventory].[Current Stock].[All]" dimensionUniqueName="[Dim_Inventory]" displayFolder="" count="0" memberValueDatatype="20" unbalanced="0"/>
    <cacheHierarchy uniqueName="[Dim_Inventory].[Reorder Level]" caption="Reorder Level" attribute="1" defaultMemberUniqueName="[Dim_Inventory].[Reorder Level].[All]" allUniqueName="[Dim_Inventory].[Reorder Level].[All]" dimensionUniqueName="[Dim_Inventory]" displayFolder="" count="0" memberValueDatatype="20" unbalanced="0"/>
    <cacheHierarchy uniqueName="[Dim_Inventory].[Reorder alert]" caption="Reorder alert" attribute="1" defaultMemberUniqueName="[Dim_Inventory].[Reorder alert].[All]" allUniqueName="[Dim_Inventory].[Reorder alert].[All]" dimensionUniqueName="[Dim_Inventory]" displayFolder="" count="0" memberValueDatatype="130" unbalanced="0"/>
    <cacheHierarchy uniqueName="[Dim_Inventory].[Dead stock alert]" caption="Dead stock alert" attribute="1" defaultMemberUniqueName="[Dim_Inventory].[Dead stock alert].[All]" allUniqueName="[Dim_Inventory].[Dead stock alert].[All]" dimensionUniqueName="[Dim_Inventory]"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Dim_Product].[Cost Price]" caption="Cost Price" attribute="1" defaultMemberUniqueName="[Dim_Product].[Cost Price].[All]" allUniqueName="[Dim_Product].[Cost Price].[All]" dimensionUniqueName="[Dim_Product]"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avg order value]" caption="avg order value" attribute="1" defaultMemberUniqueName="[Table1].[avg order value].[All]" allUniqueName="[Table1].[avg order valu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2" memberValueDatatype="130" unbalanced="0"/>
    <cacheHierarchy uniqueName="[Dim_Date].[Month (Month Index)]" caption="Month (Month Index)" attribute="1" defaultMemberUniqueName="[Dim_Date].[Month (Month Index)].[All]" allUniqueName="[Dim_Date].[Month (Month Index)].[All]" dimensionUniqueName="[Dim_Dat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Profit Margin %]" caption="Profit Margin %" measure="1" displayFolder="" measureGroup="Table1" count="0"/>
    <cacheHierarchy uniqueName="[Measures].[Average Order Value]" caption="Average Order Value" measure="1" displayFolder="" measureGroup="Table1" count="0"/>
    <cacheHierarchy uniqueName="[Measures].[No.of Orders]" caption="No.of Orders" measure="1" displayFolder="" measureGroup="Table1" count="0"/>
    <cacheHierarchy uniqueName="[Measures].[No.of cust]" caption="No.of cust" measure="1" displayFolder="" measureGroup="Table1" count="0"/>
    <cacheHierarchy uniqueName="[Measures].[Inventory turnover]" caption="Inventory turnover" measure="1" displayFolder="" measureGroup="Table1" count="0"/>
    <cacheHierarchy uniqueName="[Measures].[target Achievement %]" caption="target Achievement %" measure="1" displayFolder="" measureGroup="Table1" count="0"/>
    <cacheHierarchy uniqueName="[Measures].[repeat customer]" caption="repeat customer" measure="1" displayFolder="" measureGroup="Table1" count="0"/>
    <cacheHierarchy uniqueName="[Measures].[New Customers]" caption="New Customers" measure="1" displayFolder="" measureGroup="Table1" count="0"/>
    <cacheHierarchy uniqueName="[Measures].[Retention Rate]" caption="Retention Rate" measure="1" displayFolder="" measureGroup="Table1" count="0"/>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Table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hidden="1">
      <extLst>
        <ext xmlns:x15="http://schemas.microsoft.com/office/spreadsheetml/2010/11/main" uri="{B97F6D7D-B522-45F9-BDA1-12C45D357490}">
          <x15:cacheHierarchy aggregatedColumn="6"/>
        </ext>
      </extLst>
    </cacheHierarchy>
  </cacheHierarchies>
  <kpis count="0"/>
  <dimensions count="7">
    <dimension name="Dim_Customer" uniqueName="[Dim_Customer]" caption="Dim_Customer"/>
    <dimension name="Dim_Date" uniqueName="[Dim_Date]" caption="Dim_Date"/>
    <dimension name="Dim_Inventory" uniqueName="[Dim_Inventory]" caption="Dim_Inventory"/>
    <dimension name="Dim_Product" uniqueName="[Dim_Product]" caption="Dim_Product"/>
    <dimension measure="1" name="Measures" uniqueName="[Measures]" caption="Measures"/>
    <dimension name="Table1" uniqueName="[Table1]" caption="Table1"/>
    <dimension name="Table7" uniqueName="[Table7]" caption="Table7"/>
  </dimensions>
  <measureGroups count="6">
    <measureGroup name="Dim_Customer" caption="Dim_Customer"/>
    <measureGroup name="Dim_Date" caption="Dim_Date"/>
    <measureGroup name="Dim_Inventory" caption="Dim_Inventory"/>
    <measureGroup name="Dim_Product" caption="Dim_Product"/>
    <measureGroup name="Table1" caption="Table1"/>
    <measureGroup name="Table7" caption="Table7"/>
  </measureGroups>
  <maps count="12">
    <map measureGroup="0" dimension="0"/>
    <map measureGroup="0" dimension="6"/>
    <map measureGroup="1" dimension="1"/>
    <map measureGroup="2" dimension="2"/>
    <map measureGroup="3" dimension="2"/>
    <map measureGroup="3" dimension="3"/>
    <map measureGroup="4" dimension="0"/>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4.992761805559" backgroundQuery="1" createdVersion="8" refreshedVersion="8" minRefreshableVersion="3" recordCount="0" supportSubquery="1" supportAdvancedDrill="1" xr:uid="{09A096EA-6BF4-46E5-8387-A3C295758D7C}">
  <cacheSource type="external" connectionId="1"/>
  <cacheFields count="4">
    <cacheField name="[Dim_Customer].[Customer Name].[Customer Name]" caption="Customer Name" numFmtId="0" hierarchy="1" level="1">
      <sharedItems count="23">
        <s v="Ajay Kumar"/>
        <s v="Amit Verma"/>
        <s v="Anjali Singh"/>
        <s v="Arjun Singh"/>
        <s v="Deepa Nair"/>
        <s v="Karthik S"/>
        <s v="Kavya Shetty"/>
        <s v="Kiran Rao"/>
        <s v="Lakshmi Devi"/>
        <s v="Mohan Raj"/>
        <s v="Neha Jain"/>
        <s v="Nitin Joshi"/>
        <s v="Preeti Shah"/>
        <s v="Priya Sharma"/>
        <s v="Rahul Das"/>
        <s v="Ravi Kumar"/>
        <s v="Rekha Jain"/>
        <s v="Ritu Jain"/>
        <s v="Sanjay Patel"/>
        <s v="Sneha Reddy"/>
        <s v="Suresh Kumar"/>
        <s v="Vinay Singh"/>
        <s v="Vivek Gupta"/>
      </sharedItems>
    </cacheField>
    <cacheField name="[Measures].[Sum of profit]" caption="Sum of profit" numFmtId="0" hierarchy="55" level="32767"/>
    <cacheField name="[Dim_Date].[Month].[Month]" caption="Month" numFmtId="0" hierarchy="5" level="1">
      <sharedItems containsSemiMixedTypes="0" containsNonDate="0" containsString="0"/>
    </cacheField>
    <cacheField name="[Dim_Customer].[Segment].[Segment]" caption="Segment" numFmtId="0" hierarchy="4" level="1">
      <sharedItems containsSemiMixedTypes="0" containsNonDate="0" containsString="0"/>
    </cacheField>
  </cacheFields>
  <cacheHierarchies count="6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0"/>
      </fieldsUsage>
    </cacheHierarchy>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fieldsUsage count="2">
        <fieldUsage x="-1"/>
        <fieldUsage x="3"/>
      </fieldsUsage>
    </cacheHierarchy>
    <cacheHierarchy uniqueName="[Dim_Date].[Month]" caption="Month" attribute="1" time="1" defaultMemberUniqueName="[Dim_Date].[Month].[All]" allUniqueName="[Dim_Date].[Month].[All]" dimensionUniqueName="[Dim_Date]" displayFolder="" count="2" memberValueDatatype="7" unbalanced="0">
      <fieldsUsage count="2">
        <fieldUsage x="-1"/>
        <fieldUsage x="2"/>
      </fieldsUsage>
    </cacheHierarchy>
    <cacheHierarchy uniqueName="[Dim_Date].[Target Sales]" caption="Target Sales" attribute="1" defaultMemberUniqueName="[Dim_Date].[Target Sales].[All]" allUniqueName="[Dim_Date].[Target Sales].[All]" dimensionUniqueName="[Dim_Date]" displayFolder="" count="0" memberValueDatatype="20" unbalanced="0"/>
    <cacheHierarchy uniqueName="[Dim_Date].[Target achivement]" caption="Target achivement" attribute="1" defaultMemberUniqueName="[Dim_Date].[Target achivement].[All]" allUniqueName="[Dim_Date].[Target achivement].[All]" dimensionUniqueName="[Dim_Date]" displayFolder="" count="0" memberValueDatatype="5" unbalanced="0"/>
    <cacheHierarchy uniqueName="[Dim_Date].[Month (Month)]" caption="Month (Month)" attribute="1" defaultMemberUniqueName="[Dim_Date].[Month (Month)].[All]" allUniqueName="[Dim_Date].[Month (Month)].[All]" dimensionUniqueName="[Dim_Date]" displayFolder="" count="0" memberValueDatatype="130" unbalanced="0"/>
    <cacheHierarchy uniqueName="[Dim_Inventory].[ProductID]" caption="ProductID" attribute="1" defaultMemberUniqueName="[Dim_Inventory].[ProductID].[All]" allUniqueName="[Dim_Inventory].[ProductID].[All]" dimensionUniqueName="[Dim_Inventory]" displayFolder="" count="0" memberValueDatatype="130" unbalanced="0"/>
    <cacheHierarchy uniqueName="[Dim_Inventory].[Current Stock]" caption="Current Stock" attribute="1" defaultMemberUniqueName="[Dim_Inventory].[Current Stock].[All]" allUniqueName="[Dim_Inventory].[Current Stock].[All]" dimensionUniqueName="[Dim_Inventory]" displayFolder="" count="0" memberValueDatatype="20" unbalanced="0"/>
    <cacheHierarchy uniqueName="[Dim_Inventory].[Reorder Level]" caption="Reorder Level" attribute="1" defaultMemberUniqueName="[Dim_Inventory].[Reorder Level].[All]" allUniqueName="[Dim_Inventory].[Reorder Level].[All]" dimensionUniqueName="[Dim_Inventory]" displayFolder="" count="0" memberValueDatatype="20" unbalanced="0"/>
    <cacheHierarchy uniqueName="[Dim_Inventory].[Reorder alert]" caption="Reorder alert" attribute="1" defaultMemberUniqueName="[Dim_Inventory].[Reorder alert].[All]" allUniqueName="[Dim_Inventory].[Reorder alert].[All]" dimensionUniqueName="[Dim_Inventory]" displayFolder="" count="0" memberValueDatatype="130" unbalanced="0"/>
    <cacheHierarchy uniqueName="[Dim_Inventory].[Dead stock alert]" caption="Dead stock alert" attribute="1" defaultMemberUniqueName="[Dim_Inventory].[Dead stock alert].[All]" allUniqueName="[Dim_Inventory].[Dead stock alert].[All]" dimensionUniqueName="[Dim_Inventory]"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Cost Price]" caption="Cost Price" attribute="1" defaultMemberUniqueName="[Dim_Product].[Cost Price].[All]" allUniqueName="[Dim_Product].[Cost Price].[All]" dimensionUniqueName="[Dim_Product]"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avg order value]" caption="avg order value" attribute="1" defaultMemberUniqueName="[Table1].[avg order value].[All]" allUniqueName="[Table1].[avg order valu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2" memberValueDatatype="130" unbalanced="0"/>
    <cacheHierarchy uniqueName="[Dim_Date].[Month (Month Index)]" caption="Month (Month Index)" attribute="1" defaultMemberUniqueName="[Dim_Date].[Month (Month Index)].[All]" allUniqueName="[Dim_Date].[Month (Month Index)].[All]" dimensionUniqueName="[Dim_Dat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Profit Margin %]" caption="Profit Margin %" measure="1" displayFolder="" measureGroup="Table1" count="0"/>
    <cacheHierarchy uniqueName="[Measures].[Average Order Value]" caption="Average Order Value" measure="1" displayFolder="" measureGroup="Table1" count="0"/>
    <cacheHierarchy uniqueName="[Measures].[No.of Orders]" caption="No.of Orders" measure="1" displayFolder="" measureGroup="Table1" count="0"/>
    <cacheHierarchy uniqueName="[Measures].[No.of cust]" caption="No.of cust" measure="1" displayFolder="" measureGroup="Table1" count="0"/>
    <cacheHierarchy uniqueName="[Measures].[Inventory turnover]" caption="Inventory turnover" measure="1" displayFolder="" measureGroup="Table1" count="0"/>
    <cacheHierarchy uniqueName="[Measures].[target Achievement %]" caption="target Achievement %" measure="1" displayFolder="" measureGroup="Table1" count="0"/>
    <cacheHierarchy uniqueName="[Measures].[repeat customer]" caption="repeat customer" measure="1" displayFolder="" measureGroup="Table1" count="0"/>
    <cacheHierarchy uniqueName="[Measures].[New Customers]" caption="New Customers" measure="1" displayFolder="" measureGroup="Table1" count="0"/>
    <cacheHierarchy uniqueName="[Measures].[Retention Rate]" caption="Retention Rate" measure="1" displayFolder="" measureGroup="Table1" count="0"/>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hidden="1">
      <extLst>
        <ext xmlns:x15="http://schemas.microsoft.com/office/spreadsheetml/2010/11/main" uri="{B97F6D7D-B522-45F9-BDA1-12C45D357490}">
          <x15:cacheHierarchy aggregatedColumn="6"/>
        </ext>
      </extLst>
    </cacheHierarchy>
  </cacheHierarchies>
  <kpis count="0"/>
  <dimensions count="7">
    <dimension name="Dim_Customer" uniqueName="[Dim_Customer]" caption="Dim_Customer"/>
    <dimension name="Dim_Date" uniqueName="[Dim_Date]" caption="Dim_Date"/>
    <dimension name="Dim_Inventory" uniqueName="[Dim_Inventory]" caption="Dim_Inventory"/>
    <dimension name="Dim_Product" uniqueName="[Dim_Product]" caption="Dim_Product"/>
    <dimension measure="1" name="Measures" uniqueName="[Measures]" caption="Measures"/>
    <dimension name="Table1" uniqueName="[Table1]" caption="Table1"/>
    <dimension name="Table7" uniqueName="[Table7]" caption="Table7"/>
  </dimensions>
  <measureGroups count="6">
    <measureGroup name="Dim_Customer" caption="Dim_Customer"/>
    <measureGroup name="Dim_Date" caption="Dim_Date"/>
    <measureGroup name="Dim_Inventory" caption="Dim_Inventory"/>
    <measureGroup name="Dim_Product" caption="Dim_Product"/>
    <measureGroup name="Table1" caption="Table1"/>
    <measureGroup name="Table7" caption="Table7"/>
  </measureGroups>
  <maps count="12">
    <map measureGroup="0" dimension="0"/>
    <map measureGroup="0" dimension="6"/>
    <map measureGroup="1" dimension="1"/>
    <map measureGroup="2" dimension="2"/>
    <map measureGroup="3" dimension="2"/>
    <map measureGroup="3" dimension="3"/>
    <map measureGroup="4" dimension="0"/>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4.992762268521" backgroundQuery="1" createdVersion="8" refreshedVersion="8" minRefreshableVersion="3" recordCount="0" supportSubquery="1" supportAdvancedDrill="1" xr:uid="{7D0522B7-0413-4C96-899D-D6C3B221855B}">
  <cacheSource type="external" connectionId="1"/>
  <cacheFields count="3">
    <cacheField name="[Dim_Customer].[Segment].[Segment]" caption="Segment" numFmtId="0" hierarchy="4" level="1">
      <sharedItems count="3">
        <s v="Consumer"/>
        <s v="Corporate"/>
        <s v="Home Office"/>
      </sharedItems>
    </cacheField>
    <cacheField name="[Measures].[Sum of Sales]" caption="Sum of Sales" numFmtId="0" hierarchy="52" level="32767"/>
    <cacheField name="[Dim_Date].[Month].[Month]" caption="Month" numFmtId="0" hierarchy="5" level="1">
      <sharedItems containsSemiMixedTypes="0" containsNonDate="0" containsString="0"/>
    </cacheField>
  </cacheFields>
  <cacheHierarchies count="6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fieldsUsage count="2">
        <fieldUsage x="-1"/>
        <fieldUsage x="0"/>
      </fieldsUsage>
    </cacheHierarchy>
    <cacheHierarchy uniqueName="[Dim_Date].[Month]" caption="Month" attribute="1" time="1" defaultMemberUniqueName="[Dim_Date].[Month].[All]" allUniqueName="[Dim_Date].[Month].[All]" dimensionUniqueName="[Dim_Date]" displayFolder="" count="2" memberValueDatatype="7" unbalanced="0">
      <fieldsUsage count="2">
        <fieldUsage x="-1"/>
        <fieldUsage x="2"/>
      </fieldsUsage>
    </cacheHierarchy>
    <cacheHierarchy uniqueName="[Dim_Date].[Target Sales]" caption="Target Sales" attribute="1" defaultMemberUniqueName="[Dim_Date].[Target Sales].[All]" allUniqueName="[Dim_Date].[Target Sales].[All]" dimensionUniqueName="[Dim_Date]" displayFolder="" count="0" memberValueDatatype="20" unbalanced="0"/>
    <cacheHierarchy uniqueName="[Dim_Date].[Target achivement]" caption="Target achivement" attribute="1" defaultMemberUniqueName="[Dim_Date].[Target achivement].[All]" allUniqueName="[Dim_Date].[Target achivement].[All]" dimensionUniqueName="[Dim_Date]" displayFolder="" count="0" memberValueDatatype="5" unbalanced="0"/>
    <cacheHierarchy uniqueName="[Dim_Date].[Month (Month)]" caption="Month (Month)" attribute="1" defaultMemberUniqueName="[Dim_Date].[Month (Month)].[All]" allUniqueName="[Dim_Date].[Month (Month)].[All]" dimensionUniqueName="[Dim_Date]" displayFolder="" count="0" memberValueDatatype="130" unbalanced="0"/>
    <cacheHierarchy uniqueName="[Dim_Inventory].[ProductID]" caption="ProductID" attribute="1" defaultMemberUniqueName="[Dim_Inventory].[ProductID].[All]" allUniqueName="[Dim_Inventory].[ProductID].[All]" dimensionUniqueName="[Dim_Inventory]" displayFolder="" count="0" memberValueDatatype="130" unbalanced="0"/>
    <cacheHierarchy uniqueName="[Dim_Inventory].[Current Stock]" caption="Current Stock" attribute="1" defaultMemberUniqueName="[Dim_Inventory].[Current Stock].[All]" allUniqueName="[Dim_Inventory].[Current Stock].[All]" dimensionUniqueName="[Dim_Inventory]" displayFolder="" count="0" memberValueDatatype="20" unbalanced="0"/>
    <cacheHierarchy uniqueName="[Dim_Inventory].[Reorder Level]" caption="Reorder Level" attribute="1" defaultMemberUniqueName="[Dim_Inventory].[Reorder Level].[All]" allUniqueName="[Dim_Inventory].[Reorder Level].[All]" dimensionUniqueName="[Dim_Inventory]" displayFolder="" count="0" memberValueDatatype="20" unbalanced="0"/>
    <cacheHierarchy uniqueName="[Dim_Inventory].[Reorder alert]" caption="Reorder alert" attribute="1" defaultMemberUniqueName="[Dim_Inventory].[Reorder alert].[All]" allUniqueName="[Dim_Inventory].[Reorder alert].[All]" dimensionUniqueName="[Dim_Inventory]" displayFolder="" count="0" memberValueDatatype="130" unbalanced="0"/>
    <cacheHierarchy uniqueName="[Dim_Inventory].[Dead stock alert]" caption="Dead stock alert" attribute="1" defaultMemberUniqueName="[Dim_Inventory].[Dead stock alert].[All]" allUniqueName="[Dim_Inventory].[Dead stock alert].[All]" dimensionUniqueName="[Dim_Inventory]"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Cost Price]" caption="Cost Price" attribute="1" defaultMemberUniqueName="[Dim_Product].[Cost Price].[All]" allUniqueName="[Dim_Product].[Cost Price].[All]" dimensionUniqueName="[Dim_Product]"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avg order value]" caption="avg order value" attribute="1" defaultMemberUniqueName="[Table1].[avg order value].[All]" allUniqueName="[Table1].[avg order valu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2" memberValueDatatype="130" unbalanced="0"/>
    <cacheHierarchy uniqueName="[Dim_Date].[Month (Month Index)]" caption="Month (Month Index)" attribute="1" defaultMemberUniqueName="[Dim_Date].[Month (Month Index)].[All]" allUniqueName="[Dim_Date].[Month (Month Index)].[All]" dimensionUniqueName="[Dim_Dat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Profit Margin %]" caption="Profit Margin %" measure="1" displayFolder="" measureGroup="Table1" count="0"/>
    <cacheHierarchy uniqueName="[Measures].[Average Order Value]" caption="Average Order Value" measure="1" displayFolder="" measureGroup="Table1" count="0"/>
    <cacheHierarchy uniqueName="[Measures].[No.of Orders]" caption="No.of Orders" measure="1" displayFolder="" measureGroup="Table1" count="0"/>
    <cacheHierarchy uniqueName="[Measures].[No.of cust]" caption="No.of cust" measure="1" displayFolder="" measureGroup="Table1" count="0"/>
    <cacheHierarchy uniqueName="[Measures].[Inventory turnover]" caption="Inventory turnover" measure="1" displayFolder="" measureGroup="Table1" count="0"/>
    <cacheHierarchy uniqueName="[Measures].[target Achievement %]" caption="target Achievement %" measure="1" displayFolder="" measureGroup="Table1" count="0"/>
    <cacheHierarchy uniqueName="[Measures].[repeat customer]" caption="repeat customer" measure="1" displayFolder="" measureGroup="Table1" count="0"/>
    <cacheHierarchy uniqueName="[Measures].[New Customers]" caption="New Customers" measure="1" displayFolder="" measureGroup="Table1" count="0"/>
    <cacheHierarchy uniqueName="[Measures].[Retention Rate]" caption="Retention Rate" measure="1" displayFolder="" measureGroup="Table1" count="0"/>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hidden="1">
      <extLst>
        <ext xmlns:x15="http://schemas.microsoft.com/office/spreadsheetml/2010/11/main" uri="{B97F6D7D-B522-45F9-BDA1-12C45D357490}">
          <x15:cacheHierarchy aggregatedColumn="6"/>
        </ext>
      </extLst>
    </cacheHierarchy>
  </cacheHierarchies>
  <kpis count="0"/>
  <dimensions count="7">
    <dimension name="Dim_Customer" uniqueName="[Dim_Customer]" caption="Dim_Customer"/>
    <dimension name="Dim_Date" uniqueName="[Dim_Date]" caption="Dim_Date"/>
    <dimension name="Dim_Inventory" uniqueName="[Dim_Inventory]" caption="Dim_Inventory"/>
    <dimension name="Dim_Product" uniqueName="[Dim_Product]" caption="Dim_Product"/>
    <dimension measure="1" name="Measures" uniqueName="[Measures]" caption="Measures"/>
    <dimension name="Table1" uniqueName="[Table1]" caption="Table1"/>
    <dimension name="Table7" uniqueName="[Table7]" caption="Table7"/>
  </dimensions>
  <measureGroups count="6">
    <measureGroup name="Dim_Customer" caption="Dim_Customer"/>
    <measureGroup name="Dim_Date" caption="Dim_Date"/>
    <measureGroup name="Dim_Inventory" caption="Dim_Inventory"/>
    <measureGroup name="Dim_Product" caption="Dim_Product"/>
    <measureGroup name="Table1" caption="Table1"/>
    <measureGroup name="Table7" caption="Table7"/>
  </measureGroups>
  <maps count="12">
    <map measureGroup="0" dimension="0"/>
    <map measureGroup="0" dimension="6"/>
    <map measureGroup="1" dimension="1"/>
    <map measureGroup="2" dimension="2"/>
    <map measureGroup="3" dimension="2"/>
    <map measureGroup="3" dimension="3"/>
    <map measureGroup="4" dimension="0"/>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4.992762615744" backgroundQuery="1" createdVersion="8" refreshedVersion="8" minRefreshableVersion="3" recordCount="0" supportSubquery="1" supportAdvancedDrill="1" xr:uid="{42847D59-1683-463C-AB5D-C7B498B265F4}">
  <cacheSource type="external" connectionId="1"/>
  <cacheFields count="6">
    <cacheField name="[Measures].[repeat customer]" caption="repeat customer" numFmtId="0" hierarchy="40" level="32767"/>
    <cacheField name="[Measures].[New Customers]" caption="New Customers" numFmtId="0" hierarchy="41" level="32767"/>
    <cacheField name="[Measures].[Retention Rate]" caption="Retention Rate" numFmtId="0" hierarchy="42" level="32767"/>
    <cacheField name="[Table7].[Region].[Region]" caption="Region" numFmtId="0" hierarchy="29" level="1">
      <sharedItems count="4">
        <s v="East"/>
        <s v="North"/>
        <s v="South"/>
        <s v="West"/>
      </sharedItems>
    </cacheField>
    <cacheField name="[Dim_Date].[Month].[Month]" caption="Month" numFmtId="0" hierarchy="5" level="1">
      <sharedItems containsSemiMixedTypes="0" containsNonDate="0" containsString="0"/>
    </cacheField>
    <cacheField name="[Dim_Customer].[Segment].[Segment]" caption="Segment" numFmtId="0" hierarchy="4" level="1">
      <sharedItems containsSemiMixedTypes="0" containsNonDate="0" containsString="0"/>
    </cacheField>
  </cacheFields>
  <cacheHierarchies count="6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fieldsUsage count="2">
        <fieldUsage x="-1"/>
        <fieldUsage x="5"/>
      </fieldsUsage>
    </cacheHierarchy>
    <cacheHierarchy uniqueName="[Dim_Date].[Month]" caption="Month" attribute="1" time="1" defaultMemberUniqueName="[Dim_Date].[Month].[All]" allUniqueName="[Dim_Date].[Month].[All]" dimensionUniqueName="[Dim_Date]" displayFolder="" count="2" memberValueDatatype="7" unbalanced="0">
      <fieldsUsage count="2">
        <fieldUsage x="-1"/>
        <fieldUsage x="4"/>
      </fieldsUsage>
    </cacheHierarchy>
    <cacheHierarchy uniqueName="[Dim_Date].[Target Sales]" caption="Target Sales" attribute="1" defaultMemberUniqueName="[Dim_Date].[Target Sales].[All]" allUniqueName="[Dim_Date].[Target Sales].[All]" dimensionUniqueName="[Dim_Date]" displayFolder="" count="0" memberValueDatatype="20" unbalanced="0"/>
    <cacheHierarchy uniqueName="[Dim_Date].[Target achivement]" caption="Target achivement" attribute="1" defaultMemberUniqueName="[Dim_Date].[Target achivement].[All]" allUniqueName="[Dim_Date].[Target achivement].[All]" dimensionUniqueName="[Dim_Date]" displayFolder="" count="0" memberValueDatatype="5" unbalanced="0"/>
    <cacheHierarchy uniqueName="[Dim_Date].[Month (Month)]" caption="Month (Month)" attribute="1" defaultMemberUniqueName="[Dim_Date].[Month (Month)].[All]" allUniqueName="[Dim_Date].[Month (Month)].[All]" dimensionUniqueName="[Dim_Date]" displayFolder="" count="0" memberValueDatatype="130" unbalanced="0"/>
    <cacheHierarchy uniqueName="[Dim_Inventory].[ProductID]" caption="ProductID" attribute="1" defaultMemberUniqueName="[Dim_Inventory].[ProductID].[All]" allUniqueName="[Dim_Inventory].[ProductID].[All]" dimensionUniqueName="[Dim_Inventory]" displayFolder="" count="0" memberValueDatatype="130" unbalanced="0"/>
    <cacheHierarchy uniqueName="[Dim_Inventory].[Current Stock]" caption="Current Stock" attribute="1" defaultMemberUniqueName="[Dim_Inventory].[Current Stock].[All]" allUniqueName="[Dim_Inventory].[Current Stock].[All]" dimensionUniqueName="[Dim_Inventory]" displayFolder="" count="0" memberValueDatatype="20" unbalanced="0"/>
    <cacheHierarchy uniqueName="[Dim_Inventory].[Reorder Level]" caption="Reorder Level" attribute="1" defaultMemberUniqueName="[Dim_Inventory].[Reorder Level].[All]" allUniqueName="[Dim_Inventory].[Reorder Level].[All]" dimensionUniqueName="[Dim_Inventory]" displayFolder="" count="0" memberValueDatatype="20" unbalanced="0"/>
    <cacheHierarchy uniqueName="[Dim_Inventory].[Reorder alert]" caption="Reorder alert" attribute="1" defaultMemberUniqueName="[Dim_Inventory].[Reorder alert].[All]" allUniqueName="[Dim_Inventory].[Reorder alert].[All]" dimensionUniqueName="[Dim_Inventory]" displayFolder="" count="0" memberValueDatatype="130" unbalanced="0"/>
    <cacheHierarchy uniqueName="[Dim_Inventory].[Dead stock alert]" caption="Dead stock alert" attribute="1" defaultMemberUniqueName="[Dim_Inventory].[Dead stock alert].[All]" allUniqueName="[Dim_Inventory].[Dead stock alert].[All]" dimensionUniqueName="[Dim_Inventory]"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Cost Price]" caption="Cost Price" attribute="1" defaultMemberUniqueName="[Dim_Product].[Cost Price].[All]" allUniqueName="[Dim_Product].[Cost Price].[All]" dimensionUniqueName="[Dim_Product]"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avg order value]" caption="avg order value" attribute="1" defaultMemberUniqueName="[Table1].[avg order value].[All]" allUniqueName="[Table1].[avg order valu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2" memberValueDatatype="130" unbalanced="0">
      <fieldsUsage count="2">
        <fieldUsage x="-1"/>
        <fieldUsage x="3"/>
      </fieldsUsage>
    </cacheHierarchy>
    <cacheHierarchy uniqueName="[Dim_Date].[Month (Month Index)]" caption="Month (Month Index)" attribute="1" defaultMemberUniqueName="[Dim_Date].[Month (Month Index)].[All]" allUniqueName="[Dim_Date].[Month (Month Index)].[All]" dimensionUniqueName="[Dim_Dat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Profit Margin %]" caption="Profit Margin %" measure="1" displayFolder="" measureGroup="Table1" count="0"/>
    <cacheHierarchy uniqueName="[Measures].[Average Order Value]" caption="Average Order Value" measure="1" displayFolder="" measureGroup="Table1" count="0"/>
    <cacheHierarchy uniqueName="[Measures].[No.of Orders]" caption="No.of Orders" measure="1" displayFolder="" measureGroup="Table1" count="0"/>
    <cacheHierarchy uniqueName="[Measures].[No.of cust]" caption="No.of cust" measure="1" displayFolder="" measureGroup="Table1" count="0"/>
    <cacheHierarchy uniqueName="[Measures].[Inventory turnover]" caption="Inventory turnover" measure="1" displayFolder="" measureGroup="Table1" count="0"/>
    <cacheHierarchy uniqueName="[Measures].[target Achievement %]" caption="target Achievement %" measure="1" displayFolder="" measureGroup="Table1" count="0"/>
    <cacheHierarchy uniqueName="[Measures].[repeat customer]" caption="repeat customer" measure="1" displayFolder="" measureGroup="Table1" count="0" oneField="1">
      <fieldsUsage count="1">
        <fieldUsage x="0"/>
      </fieldsUsage>
    </cacheHierarchy>
    <cacheHierarchy uniqueName="[Measures].[New Customers]" caption="New Customers" measure="1" displayFolder="" measureGroup="Table1" count="0" oneField="1">
      <fieldsUsage count="1">
        <fieldUsage x="1"/>
      </fieldsUsage>
    </cacheHierarchy>
    <cacheHierarchy uniqueName="[Measures].[Retention Rate]" caption="Retention Rate" measure="1" displayFolder="" measureGroup="Table1" count="0" oneField="1">
      <fieldsUsage count="1">
        <fieldUsage x="2"/>
      </fieldsUsage>
    </cacheHierarchy>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hidden="1">
      <extLst>
        <ext xmlns:x15="http://schemas.microsoft.com/office/spreadsheetml/2010/11/main" uri="{B97F6D7D-B522-45F9-BDA1-12C45D357490}">
          <x15:cacheHierarchy aggregatedColumn="6"/>
        </ext>
      </extLst>
    </cacheHierarchy>
  </cacheHierarchies>
  <kpis count="0"/>
  <dimensions count="7">
    <dimension name="Dim_Customer" uniqueName="[Dim_Customer]" caption="Dim_Customer"/>
    <dimension name="Dim_Date" uniqueName="[Dim_Date]" caption="Dim_Date"/>
    <dimension name="Dim_Inventory" uniqueName="[Dim_Inventory]" caption="Dim_Inventory"/>
    <dimension name="Dim_Product" uniqueName="[Dim_Product]" caption="Dim_Product"/>
    <dimension measure="1" name="Measures" uniqueName="[Measures]" caption="Measures"/>
    <dimension name="Table1" uniqueName="[Table1]" caption="Table1"/>
    <dimension name="Table7" uniqueName="[Table7]" caption="Table7"/>
  </dimensions>
  <measureGroups count="6">
    <measureGroup name="Dim_Customer" caption="Dim_Customer"/>
    <measureGroup name="Dim_Date" caption="Dim_Date"/>
    <measureGroup name="Dim_Inventory" caption="Dim_Inventory"/>
    <measureGroup name="Dim_Product" caption="Dim_Product"/>
    <measureGroup name="Table1" caption="Table1"/>
    <measureGroup name="Table7" caption="Table7"/>
  </measureGroups>
  <maps count="12">
    <map measureGroup="0" dimension="0"/>
    <map measureGroup="0" dimension="6"/>
    <map measureGroup="1" dimension="1"/>
    <map measureGroup="2" dimension="2"/>
    <map measureGroup="3" dimension="2"/>
    <map measureGroup="3" dimension="3"/>
    <map measureGroup="4" dimension="0"/>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4.993826620368" backgroundQuery="1" createdVersion="8" refreshedVersion="8" minRefreshableVersion="3" recordCount="0" supportSubquery="1" supportAdvancedDrill="1" xr:uid="{C266BF4F-531F-478B-8F4D-5EDF6F29AF91}">
  <cacheSource type="external" connectionId="1"/>
  <cacheFields count="3">
    <cacheField name="[Dim_Inventory].[Dead stock alert].[Dead stock alert]" caption="Dead stock alert" numFmtId="0" hierarchy="13" level="1">
      <sharedItems count="1">
        <s v="present"/>
      </sharedItems>
    </cacheField>
    <cacheField name="[Measures].[Count of ProductID]" caption="Count of ProductID" numFmtId="0" hierarchy="58" level="32767"/>
    <cacheField name="[Dim_Product].[Category].[Category]" caption="Category" numFmtId="0" hierarchy="16" level="1">
      <sharedItems containsSemiMixedTypes="0" containsNonDate="0" containsString="0"/>
    </cacheField>
  </cacheFields>
  <cacheHierarchies count="6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Month]" caption="Month" attribute="1" time="1" defaultMemberUniqueName="[Dim_Date].[Month].[All]" allUniqueName="[Dim_Date].[Month].[All]" dimensionUniqueName="[Dim_Date]" displayFolder="" count="0" memberValueDatatype="7" unbalanced="0"/>
    <cacheHierarchy uniqueName="[Dim_Date].[Target Sales]" caption="Target Sales" attribute="1" defaultMemberUniqueName="[Dim_Date].[Target Sales].[All]" allUniqueName="[Dim_Date].[Target Sales].[All]" dimensionUniqueName="[Dim_Date]" displayFolder="" count="0" memberValueDatatype="20" unbalanced="0"/>
    <cacheHierarchy uniqueName="[Dim_Date].[Target achivement]" caption="Target achivement" attribute="1" defaultMemberUniqueName="[Dim_Date].[Target achivement].[All]" allUniqueName="[Dim_Date].[Target achivement].[All]" dimensionUniqueName="[Dim_Date]" displayFolder="" count="0" memberValueDatatype="5" unbalanced="0"/>
    <cacheHierarchy uniqueName="[Dim_Date].[Month (Month)]" caption="Month (Month)" attribute="1" defaultMemberUniqueName="[Dim_Date].[Month (Month)].[All]" allUniqueName="[Dim_Date].[Month (Month)].[All]" dimensionUniqueName="[Dim_Date]" displayFolder="" count="0" memberValueDatatype="130" unbalanced="0"/>
    <cacheHierarchy uniqueName="[Dim_Inventory].[ProductID]" caption="ProductID" attribute="1" defaultMemberUniqueName="[Dim_Inventory].[ProductID].[All]" allUniqueName="[Dim_Inventory].[ProductID].[All]" dimensionUniqueName="[Dim_Inventory]" displayFolder="" count="0" memberValueDatatype="130" unbalanced="0"/>
    <cacheHierarchy uniqueName="[Dim_Inventory].[Current Stock]" caption="Current Stock" attribute="1" defaultMemberUniqueName="[Dim_Inventory].[Current Stock].[All]" allUniqueName="[Dim_Inventory].[Current Stock].[All]" dimensionUniqueName="[Dim_Inventory]" displayFolder="" count="0" memberValueDatatype="20" unbalanced="0"/>
    <cacheHierarchy uniqueName="[Dim_Inventory].[Reorder Level]" caption="Reorder Level" attribute="1" defaultMemberUniqueName="[Dim_Inventory].[Reorder Level].[All]" allUniqueName="[Dim_Inventory].[Reorder Level].[All]" dimensionUniqueName="[Dim_Inventory]" displayFolder="" count="0" memberValueDatatype="20" unbalanced="0"/>
    <cacheHierarchy uniqueName="[Dim_Inventory].[Reorder alert]" caption="Reorder alert" attribute="1" defaultMemberUniqueName="[Dim_Inventory].[Reorder alert].[All]" allUniqueName="[Dim_Inventory].[Reorder alert].[All]" dimensionUniqueName="[Dim_Inventory]" displayFolder="" count="0" memberValueDatatype="130" unbalanced="0"/>
    <cacheHierarchy uniqueName="[Dim_Inventory].[Dead stock alert]" caption="Dead stock alert" attribute="1" defaultMemberUniqueName="[Dim_Inventory].[Dead stock alert].[All]" allUniqueName="[Dim_Inventory].[Dead stock alert].[All]" dimensionUniqueName="[Dim_Inventory]" displayFolder="" count="2" memberValueDatatype="130" unbalanced="0">
      <fieldsUsage count="2">
        <fieldUsage x="-1"/>
        <fieldUsage x="0"/>
      </fieldsUsage>
    </cacheHierarchy>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Dim_Product].[Cost Price]" caption="Cost Price" attribute="1" defaultMemberUniqueName="[Dim_Product].[Cost Price].[All]" allUniqueName="[Dim_Product].[Cost Price].[All]" dimensionUniqueName="[Dim_Product]"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avg order value]" caption="avg order value" attribute="1" defaultMemberUniqueName="[Table1].[avg order value].[All]" allUniqueName="[Table1].[avg order valu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2" memberValueDatatype="130" unbalanced="0"/>
    <cacheHierarchy uniqueName="[Dim_Date].[Month (Month Index)]" caption="Month (Month Index)" attribute="1" defaultMemberUniqueName="[Dim_Date].[Month (Month Index)].[All]" allUniqueName="[Dim_Date].[Month (Month Index)].[All]" dimensionUniqueName="[Dim_Dat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Profit Margin %]" caption="Profit Margin %" measure="1" displayFolder="" measureGroup="Table1" count="0"/>
    <cacheHierarchy uniqueName="[Measures].[Average Order Value]" caption="Average Order Value" measure="1" displayFolder="" measureGroup="Table1" count="0"/>
    <cacheHierarchy uniqueName="[Measures].[No.of Orders]" caption="No.of Orders" measure="1" displayFolder="" measureGroup="Table1" count="0"/>
    <cacheHierarchy uniqueName="[Measures].[No.of cust]" caption="No.of cust" measure="1" displayFolder="" measureGroup="Table1" count="0"/>
    <cacheHierarchy uniqueName="[Measures].[Inventory turnover]" caption="Inventory turnover" measure="1" displayFolder="" measureGroup="Table1" count="0"/>
    <cacheHierarchy uniqueName="[Measures].[target Achievement %]" caption="target Achievement %" measure="1" displayFolder="" measureGroup="Table1" count="0"/>
    <cacheHierarchy uniqueName="[Measures].[repeat customer]" caption="repeat customer" measure="1" displayFolder="" measureGroup="Table1" count="0"/>
    <cacheHierarchy uniqueName="[Measures].[New Customers]" caption="New Customers" measure="1" displayFolder="" measureGroup="Table1" count="0"/>
    <cacheHierarchy uniqueName="[Measures].[Retention Rate]" caption="Retention Rate" measure="1" displayFolder="" measureGroup="Table1" count="0"/>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hidden="1">
      <extLst>
        <ext xmlns:x15="http://schemas.microsoft.com/office/spreadsheetml/2010/11/main" uri="{B97F6D7D-B522-45F9-BDA1-12C45D357490}">
          <x15:cacheHierarchy aggregatedColumn="6"/>
        </ext>
      </extLst>
    </cacheHierarchy>
  </cacheHierarchies>
  <kpis count="0"/>
  <dimensions count="7">
    <dimension name="Dim_Customer" uniqueName="[Dim_Customer]" caption="Dim_Customer"/>
    <dimension name="Dim_Date" uniqueName="[Dim_Date]" caption="Dim_Date"/>
    <dimension name="Dim_Inventory" uniqueName="[Dim_Inventory]" caption="Dim_Inventory"/>
    <dimension name="Dim_Product" uniqueName="[Dim_Product]" caption="Dim_Product"/>
    <dimension measure="1" name="Measures" uniqueName="[Measures]" caption="Measures"/>
    <dimension name="Table1" uniqueName="[Table1]" caption="Table1"/>
    <dimension name="Table7" uniqueName="[Table7]" caption="Table7"/>
  </dimensions>
  <measureGroups count="6">
    <measureGroup name="Dim_Customer" caption="Dim_Customer"/>
    <measureGroup name="Dim_Date" caption="Dim_Date"/>
    <measureGroup name="Dim_Inventory" caption="Dim_Inventory"/>
    <measureGroup name="Dim_Product" caption="Dim_Product"/>
    <measureGroup name="Table1" caption="Table1"/>
    <measureGroup name="Table7" caption="Table7"/>
  </measureGroups>
  <maps count="12">
    <map measureGroup="0" dimension="0"/>
    <map measureGroup="0" dimension="6"/>
    <map measureGroup="1" dimension="1"/>
    <map measureGroup="2" dimension="2"/>
    <map measureGroup="3" dimension="2"/>
    <map measureGroup="3" dimension="3"/>
    <map measureGroup="4" dimension="0"/>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4.99382708333" backgroundQuery="1" createdVersion="8" refreshedVersion="8" minRefreshableVersion="3" recordCount="0" supportSubquery="1" supportAdvancedDrill="1" xr:uid="{85F01CDA-14CB-4926-9914-38B204DE9DB3}">
  <cacheSource type="external" connectionId="1"/>
  <cacheFields count="4">
    <cacheField name="[Dim_Product].[Product Name].[Product Name]" caption="Product Name" numFmtId="0" hierarchy="15" level="1">
      <sharedItems count="30">
        <s v="Bookshelf"/>
        <s v="Cabinet"/>
        <s v="Calculator"/>
        <s v="Chair"/>
        <s v="Desk"/>
        <s v="Eraser Pack"/>
        <s v="File Folder"/>
        <s v="Hard Disk"/>
        <s v="Headphones"/>
        <s v="Keyboard"/>
        <s v="Lamp"/>
        <s v="Laptop"/>
        <s v="Marker Pack"/>
        <s v="Monitor"/>
        <s v="Mouse"/>
        <s v="Notebook"/>
        <s v="Office Chair"/>
        <s v="Pen Pack"/>
        <s v="Printer"/>
        <s v="Projector"/>
        <s v="Router"/>
        <s v="Scanner"/>
        <s v="Smart TV"/>
        <s v="Sofa"/>
        <s v="Speaker"/>
        <s v="Standing Desk"/>
        <s v="Stapler"/>
        <s v="Tablet"/>
        <s v="Webcam"/>
        <s v="Whiteboard"/>
      </sharedItems>
    </cacheField>
    <cacheField name="[Dim_Inventory].[Reorder alert].[Reorder alert]" caption="Reorder alert" numFmtId="0" hierarchy="12" level="1">
      <sharedItems containsSemiMixedTypes="0" containsNonDate="0" containsString="0"/>
    </cacheField>
    <cacheField name="[Measures].[Sum of Current Stock]" caption="Sum of Current Stock" numFmtId="0" hierarchy="56" level="32767"/>
    <cacheField name="[Dim_Product].[Category].[Category]" caption="Category" numFmtId="0" hierarchy="16" level="1">
      <sharedItems containsSemiMixedTypes="0" containsNonDate="0" containsString="0"/>
    </cacheField>
  </cacheFields>
  <cacheHierarchies count="6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Month]" caption="Month" attribute="1" time="1" defaultMemberUniqueName="[Dim_Date].[Month].[All]" allUniqueName="[Dim_Date].[Month].[All]" dimensionUniqueName="[Dim_Date]" displayFolder="" count="0" memberValueDatatype="7" unbalanced="0"/>
    <cacheHierarchy uniqueName="[Dim_Date].[Target Sales]" caption="Target Sales" attribute="1" defaultMemberUniqueName="[Dim_Date].[Target Sales].[All]" allUniqueName="[Dim_Date].[Target Sales].[All]" dimensionUniqueName="[Dim_Date]" displayFolder="" count="0" memberValueDatatype="20" unbalanced="0"/>
    <cacheHierarchy uniqueName="[Dim_Date].[Target achivement]" caption="Target achivement" attribute="1" defaultMemberUniqueName="[Dim_Date].[Target achivement].[All]" allUniqueName="[Dim_Date].[Target achivement].[All]" dimensionUniqueName="[Dim_Date]" displayFolder="" count="0" memberValueDatatype="5" unbalanced="0"/>
    <cacheHierarchy uniqueName="[Dim_Date].[Month (Month)]" caption="Month (Month)" attribute="1" defaultMemberUniqueName="[Dim_Date].[Month (Month)].[All]" allUniqueName="[Dim_Date].[Month (Month)].[All]" dimensionUniqueName="[Dim_Date]" displayFolder="" count="0" memberValueDatatype="130" unbalanced="0"/>
    <cacheHierarchy uniqueName="[Dim_Inventory].[ProductID]" caption="ProductID" attribute="1" defaultMemberUniqueName="[Dim_Inventory].[ProductID].[All]" allUniqueName="[Dim_Inventory].[ProductID].[All]" dimensionUniqueName="[Dim_Inventory]" displayFolder="" count="0" memberValueDatatype="130" unbalanced="0"/>
    <cacheHierarchy uniqueName="[Dim_Inventory].[Current Stock]" caption="Current Stock" attribute="1" defaultMemberUniqueName="[Dim_Inventory].[Current Stock].[All]" allUniqueName="[Dim_Inventory].[Current Stock].[All]" dimensionUniqueName="[Dim_Inventory]" displayFolder="" count="0" memberValueDatatype="20" unbalanced="0"/>
    <cacheHierarchy uniqueName="[Dim_Inventory].[Reorder Level]" caption="Reorder Level" attribute="1" defaultMemberUniqueName="[Dim_Inventory].[Reorder Level].[All]" allUniqueName="[Dim_Inventory].[Reorder Level].[All]" dimensionUniqueName="[Dim_Inventory]" displayFolder="" count="0" memberValueDatatype="20" unbalanced="0"/>
    <cacheHierarchy uniqueName="[Dim_Inventory].[Reorder alert]" caption="Reorder alert" attribute="1" defaultMemberUniqueName="[Dim_Inventory].[Reorder alert].[All]" allUniqueName="[Dim_Inventory].[Reorder alert].[All]" dimensionUniqueName="[Dim_Inventory]" displayFolder="" count="2" memberValueDatatype="130" unbalanced="0">
      <fieldsUsage count="2">
        <fieldUsage x="-1"/>
        <fieldUsage x="1"/>
      </fieldsUsage>
    </cacheHierarchy>
    <cacheHierarchy uniqueName="[Dim_Inventory].[Dead stock alert]" caption="Dead stock alert" attribute="1" defaultMemberUniqueName="[Dim_Inventory].[Dead stock alert].[All]" allUniqueName="[Dim_Inventory].[Dead stock alert].[All]" dimensionUniqueName="[Dim_Inventory]"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fieldsUsage count="2">
        <fieldUsage x="-1"/>
        <fieldUsage x="0"/>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Dim_Product].[Cost Price]" caption="Cost Price" attribute="1" defaultMemberUniqueName="[Dim_Product].[Cost Price].[All]" allUniqueName="[Dim_Product].[Cost Price].[All]" dimensionUniqueName="[Dim_Product]"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avg order value]" caption="avg order value" attribute="1" defaultMemberUniqueName="[Table1].[avg order value].[All]" allUniqueName="[Table1].[avg order valu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2" memberValueDatatype="130" unbalanced="0"/>
    <cacheHierarchy uniqueName="[Dim_Date].[Month (Month Index)]" caption="Month (Month Index)" attribute="1" defaultMemberUniqueName="[Dim_Date].[Month (Month Index)].[All]" allUniqueName="[Dim_Date].[Month (Month Index)].[All]" dimensionUniqueName="[Dim_Dat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Profit Margin %]" caption="Profit Margin %" measure="1" displayFolder="" measureGroup="Table1" count="0"/>
    <cacheHierarchy uniqueName="[Measures].[Average Order Value]" caption="Average Order Value" measure="1" displayFolder="" measureGroup="Table1" count="0"/>
    <cacheHierarchy uniqueName="[Measures].[No.of Orders]" caption="No.of Orders" measure="1" displayFolder="" measureGroup="Table1" count="0"/>
    <cacheHierarchy uniqueName="[Measures].[No.of cust]" caption="No.of cust" measure="1" displayFolder="" measureGroup="Table1" count="0"/>
    <cacheHierarchy uniqueName="[Measures].[Inventory turnover]" caption="Inventory turnover" measure="1" displayFolder="" measureGroup="Table1" count="0"/>
    <cacheHierarchy uniqueName="[Measures].[target Achievement %]" caption="target Achievement %" measure="1" displayFolder="" measureGroup="Table1" count="0"/>
    <cacheHierarchy uniqueName="[Measures].[repeat customer]" caption="repeat customer" measure="1" displayFolder="" measureGroup="Table1" count="0"/>
    <cacheHierarchy uniqueName="[Measures].[New Customers]" caption="New Customers" measure="1" displayFolder="" measureGroup="Table1" count="0"/>
    <cacheHierarchy uniqueName="[Measures].[Retention Rate]" caption="Retention Rate" measure="1" displayFolder="" measureGroup="Table1" count="0"/>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Dim_Inventory"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hidden="1">
      <extLst>
        <ext xmlns:x15="http://schemas.microsoft.com/office/spreadsheetml/2010/11/main" uri="{B97F6D7D-B522-45F9-BDA1-12C45D357490}">
          <x15:cacheHierarchy aggregatedColumn="6"/>
        </ext>
      </extLst>
    </cacheHierarchy>
  </cacheHierarchies>
  <kpis count="0"/>
  <dimensions count="7">
    <dimension name="Dim_Customer" uniqueName="[Dim_Customer]" caption="Dim_Customer"/>
    <dimension name="Dim_Date" uniqueName="[Dim_Date]" caption="Dim_Date"/>
    <dimension name="Dim_Inventory" uniqueName="[Dim_Inventory]" caption="Dim_Inventory"/>
    <dimension name="Dim_Product" uniqueName="[Dim_Product]" caption="Dim_Product"/>
    <dimension measure="1" name="Measures" uniqueName="[Measures]" caption="Measures"/>
    <dimension name="Table1" uniqueName="[Table1]" caption="Table1"/>
    <dimension name="Table7" uniqueName="[Table7]" caption="Table7"/>
  </dimensions>
  <measureGroups count="6">
    <measureGroup name="Dim_Customer" caption="Dim_Customer"/>
    <measureGroup name="Dim_Date" caption="Dim_Date"/>
    <measureGroup name="Dim_Inventory" caption="Dim_Inventory"/>
    <measureGroup name="Dim_Product" caption="Dim_Product"/>
    <measureGroup name="Table1" caption="Table1"/>
    <measureGroup name="Table7" caption="Table7"/>
  </measureGroups>
  <maps count="12">
    <map measureGroup="0" dimension="0"/>
    <map measureGroup="0" dimension="6"/>
    <map measureGroup="1" dimension="1"/>
    <map measureGroup="2" dimension="2"/>
    <map measureGroup="3" dimension="2"/>
    <map measureGroup="3" dimension="3"/>
    <map measureGroup="4" dimension="0"/>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4.993827662038" backgroundQuery="1" createdVersion="8" refreshedVersion="8" minRefreshableVersion="3" recordCount="0" supportSubquery="1" supportAdvancedDrill="1" xr:uid="{47A0E54C-2C7D-4359-9063-FCD1D5DF3CDE}">
  <cacheSource type="external" connectionId="1"/>
  <cacheFields count="2">
    <cacheField name="[Dim_Product].[Category].[Category]" caption="Category" numFmtId="0" hierarchy="16" level="1">
      <sharedItems count="3">
        <s v="Electronics"/>
        <s v="Furniture"/>
        <s v="Office Supplies"/>
      </sharedItems>
    </cacheField>
    <cacheField name="[Measures].[Sum of Current Stock]" caption="Sum of Current Stock" numFmtId="0" hierarchy="56" level="32767"/>
  </cacheFields>
  <cacheHierarchies count="6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Month]" caption="Month" attribute="1" time="1" defaultMemberUniqueName="[Dim_Date].[Month].[All]" allUniqueName="[Dim_Date].[Month].[All]" dimensionUniqueName="[Dim_Date]" displayFolder="" count="0" memberValueDatatype="7" unbalanced="0"/>
    <cacheHierarchy uniqueName="[Dim_Date].[Target Sales]" caption="Target Sales" attribute="1" defaultMemberUniqueName="[Dim_Date].[Target Sales].[All]" allUniqueName="[Dim_Date].[Target Sales].[All]" dimensionUniqueName="[Dim_Date]" displayFolder="" count="0" memberValueDatatype="20" unbalanced="0"/>
    <cacheHierarchy uniqueName="[Dim_Date].[Target achivement]" caption="Target achivement" attribute="1" defaultMemberUniqueName="[Dim_Date].[Target achivement].[All]" allUniqueName="[Dim_Date].[Target achivement].[All]" dimensionUniqueName="[Dim_Date]" displayFolder="" count="0" memberValueDatatype="5" unbalanced="0"/>
    <cacheHierarchy uniqueName="[Dim_Date].[Month (Month)]" caption="Month (Month)" attribute="1" defaultMemberUniqueName="[Dim_Date].[Month (Month)].[All]" allUniqueName="[Dim_Date].[Month (Month)].[All]" dimensionUniqueName="[Dim_Date]" displayFolder="" count="0" memberValueDatatype="130" unbalanced="0"/>
    <cacheHierarchy uniqueName="[Dim_Inventory].[ProductID]" caption="ProductID" attribute="1" defaultMemberUniqueName="[Dim_Inventory].[ProductID].[All]" allUniqueName="[Dim_Inventory].[ProductID].[All]" dimensionUniqueName="[Dim_Inventory]" displayFolder="" count="0" memberValueDatatype="130" unbalanced="0"/>
    <cacheHierarchy uniqueName="[Dim_Inventory].[Current Stock]" caption="Current Stock" attribute="1" defaultMemberUniqueName="[Dim_Inventory].[Current Stock].[All]" allUniqueName="[Dim_Inventory].[Current Stock].[All]" dimensionUniqueName="[Dim_Inventory]" displayFolder="" count="0" memberValueDatatype="20" unbalanced="0"/>
    <cacheHierarchy uniqueName="[Dim_Inventory].[Reorder Level]" caption="Reorder Level" attribute="1" defaultMemberUniqueName="[Dim_Inventory].[Reorder Level].[All]" allUniqueName="[Dim_Inventory].[Reorder Level].[All]" dimensionUniqueName="[Dim_Inventory]" displayFolder="" count="0" memberValueDatatype="20" unbalanced="0"/>
    <cacheHierarchy uniqueName="[Dim_Inventory].[Reorder alert]" caption="Reorder alert" attribute="1" defaultMemberUniqueName="[Dim_Inventory].[Reorder alert].[All]" allUniqueName="[Dim_Inventory].[Reorder alert].[All]" dimensionUniqueName="[Dim_Inventory]" displayFolder="" count="0" memberValueDatatype="130" unbalanced="0"/>
    <cacheHierarchy uniqueName="[Dim_Inventory].[Dead stock alert]" caption="Dead stock alert" attribute="1" defaultMemberUniqueName="[Dim_Inventory].[Dead stock alert].[All]" allUniqueName="[Dim_Inventory].[Dead stock alert].[All]" dimensionUniqueName="[Dim_Inventory]"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Cost Price]" caption="Cost Price" attribute="1" defaultMemberUniqueName="[Dim_Product].[Cost Price].[All]" allUniqueName="[Dim_Product].[Cost Price].[All]" dimensionUniqueName="[Dim_Product]"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avg order value]" caption="avg order value" attribute="1" defaultMemberUniqueName="[Table1].[avg order value].[All]" allUniqueName="[Table1].[avg order valu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2" memberValueDatatype="130" unbalanced="0"/>
    <cacheHierarchy uniqueName="[Dim_Date].[Month (Month Index)]" caption="Month (Month Index)" attribute="1" defaultMemberUniqueName="[Dim_Date].[Month (Month Index)].[All]" allUniqueName="[Dim_Date].[Month (Month Index)].[All]" dimensionUniqueName="[Dim_Dat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Profit Margin %]" caption="Profit Margin %" measure="1" displayFolder="" measureGroup="Table1" count="0"/>
    <cacheHierarchy uniqueName="[Measures].[Average Order Value]" caption="Average Order Value" measure="1" displayFolder="" measureGroup="Table1" count="0"/>
    <cacheHierarchy uniqueName="[Measures].[No.of Orders]" caption="No.of Orders" measure="1" displayFolder="" measureGroup="Table1" count="0"/>
    <cacheHierarchy uniqueName="[Measures].[No.of cust]" caption="No.of cust" measure="1" displayFolder="" measureGroup="Table1" count="0"/>
    <cacheHierarchy uniqueName="[Measures].[Inventory turnover]" caption="Inventory turnover" measure="1" displayFolder="" measureGroup="Table1" count="0"/>
    <cacheHierarchy uniqueName="[Measures].[target Achievement %]" caption="target Achievement %" measure="1" displayFolder="" measureGroup="Table1" count="0"/>
    <cacheHierarchy uniqueName="[Measures].[repeat customer]" caption="repeat customer" measure="1" displayFolder="" measureGroup="Table1" count="0"/>
    <cacheHierarchy uniqueName="[Measures].[New Customers]" caption="New Customers" measure="1" displayFolder="" measureGroup="Table1" count="0"/>
    <cacheHierarchy uniqueName="[Measures].[Retention Rate]" caption="Retention Rate" measure="1" displayFolder="" measureGroup="Table1" count="0"/>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Dim_Inventory"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hidden="1">
      <extLst>
        <ext xmlns:x15="http://schemas.microsoft.com/office/spreadsheetml/2010/11/main" uri="{B97F6D7D-B522-45F9-BDA1-12C45D357490}">
          <x15:cacheHierarchy aggregatedColumn="6"/>
        </ext>
      </extLst>
    </cacheHierarchy>
  </cacheHierarchies>
  <kpis count="0"/>
  <dimensions count="7">
    <dimension name="Dim_Customer" uniqueName="[Dim_Customer]" caption="Dim_Customer"/>
    <dimension name="Dim_Date" uniqueName="[Dim_Date]" caption="Dim_Date"/>
    <dimension name="Dim_Inventory" uniqueName="[Dim_Inventory]" caption="Dim_Inventory"/>
    <dimension name="Dim_Product" uniqueName="[Dim_Product]" caption="Dim_Product"/>
    <dimension measure="1" name="Measures" uniqueName="[Measures]" caption="Measures"/>
    <dimension name="Table1" uniqueName="[Table1]" caption="Table1"/>
    <dimension name="Table7" uniqueName="[Table7]" caption="Table7"/>
  </dimensions>
  <measureGroups count="6">
    <measureGroup name="Dim_Customer" caption="Dim_Customer"/>
    <measureGroup name="Dim_Date" caption="Dim_Date"/>
    <measureGroup name="Dim_Inventory" caption="Dim_Inventory"/>
    <measureGroup name="Dim_Product" caption="Dim_Product"/>
    <measureGroup name="Table1" caption="Table1"/>
    <measureGroup name="Table7" caption="Table7"/>
  </measureGroups>
  <maps count="12">
    <map measureGroup="0" dimension="0"/>
    <map measureGroup="0" dimension="6"/>
    <map measureGroup="1" dimension="1"/>
    <map measureGroup="2" dimension="2"/>
    <map measureGroup="3" dimension="2"/>
    <map measureGroup="3" dimension="3"/>
    <map measureGroup="4" dimension="0"/>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4.997168865739" backgroundQuery="1" createdVersion="8" refreshedVersion="8" minRefreshableVersion="3" recordCount="0" supportSubquery="1" supportAdvancedDrill="1" xr:uid="{ED85D293-FCD6-439A-B6C2-7B3202CF753D}">
  <cacheSource type="external" connectionId="1"/>
  <cacheFields count="4">
    <cacheField name="[Table1].[Date (Month)].[Date (Month)]" caption="Date (Month)" numFmtId="0" hierarchy="27" level="1">
      <sharedItems count="6">
        <s v="Jan"/>
        <s v="Feb"/>
        <s v="Mar"/>
        <s v="Apr"/>
        <s v="May"/>
        <s v="Jun"/>
      </sharedItems>
    </cacheField>
    <cacheField name="[Measures].[Sum of Sales]" caption="Sum of Sales" numFmtId="0" hierarchy="52" level="32767"/>
    <cacheField name="[Measures].[Sum of Target Sales]" caption="Sum of Target Sales" numFmtId="0" hierarchy="59" level="32767"/>
    <cacheField name="[Table7].[Region].[Region]" caption="Region" numFmtId="0" hierarchy="29" level="1">
      <sharedItems containsSemiMixedTypes="0" containsNonDate="0" containsString="0"/>
    </cacheField>
  </cacheFields>
  <cacheHierarchies count="6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Month]" caption="Month" attribute="1" time="1" defaultMemberUniqueName="[Dim_Date].[Month].[All]" allUniqueName="[Dim_Date].[Month].[All]" dimensionUniqueName="[Dim_Date]" displayFolder="" count="2" memberValueDatatype="7" unbalanced="0"/>
    <cacheHierarchy uniqueName="[Dim_Date].[Target Sales]" caption="Target Sales" attribute="1" defaultMemberUniqueName="[Dim_Date].[Target Sales].[All]" allUniqueName="[Dim_Date].[Target Sales].[All]" dimensionUniqueName="[Dim_Date]" displayFolder="" count="0" memberValueDatatype="20" unbalanced="0"/>
    <cacheHierarchy uniqueName="[Dim_Date].[Target achivement]" caption="Target achivement" attribute="1" defaultMemberUniqueName="[Dim_Date].[Target achivement].[All]" allUniqueName="[Dim_Date].[Target achivement].[All]" dimensionUniqueName="[Dim_Date]" displayFolder="" count="0" memberValueDatatype="5" unbalanced="0"/>
    <cacheHierarchy uniqueName="[Dim_Date].[Month (Month)]" caption="Month (Month)" attribute="1" defaultMemberUniqueName="[Dim_Date].[Month (Month)].[All]" allUniqueName="[Dim_Date].[Month (Month)].[All]" dimensionUniqueName="[Dim_Date]" displayFolder="" count="0" memberValueDatatype="130" unbalanced="0"/>
    <cacheHierarchy uniqueName="[Dim_Inventory].[ProductID]" caption="ProductID" attribute="1" defaultMemberUniqueName="[Dim_Inventory].[ProductID].[All]" allUniqueName="[Dim_Inventory].[ProductID].[All]" dimensionUniqueName="[Dim_Inventory]" displayFolder="" count="0" memberValueDatatype="130" unbalanced="0"/>
    <cacheHierarchy uniqueName="[Dim_Inventory].[Current Stock]" caption="Current Stock" attribute="1" defaultMemberUniqueName="[Dim_Inventory].[Current Stock].[All]" allUniqueName="[Dim_Inventory].[Current Stock].[All]" dimensionUniqueName="[Dim_Inventory]" displayFolder="" count="0" memberValueDatatype="20" unbalanced="0"/>
    <cacheHierarchy uniqueName="[Dim_Inventory].[Reorder Level]" caption="Reorder Level" attribute="1" defaultMemberUniqueName="[Dim_Inventory].[Reorder Level].[All]" allUniqueName="[Dim_Inventory].[Reorder Level].[All]" dimensionUniqueName="[Dim_Inventory]" displayFolder="" count="0" memberValueDatatype="20" unbalanced="0"/>
    <cacheHierarchy uniqueName="[Dim_Inventory].[Reorder alert]" caption="Reorder alert" attribute="1" defaultMemberUniqueName="[Dim_Inventory].[Reorder alert].[All]" allUniqueName="[Dim_Inventory].[Reorder alert].[All]" dimensionUniqueName="[Dim_Inventory]" displayFolder="" count="0" memberValueDatatype="130" unbalanced="0"/>
    <cacheHierarchy uniqueName="[Dim_Inventory].[Dead stock alert]" caption="Dead stock alert" attribute="1" defaultMemberUniqueName="[Dim_Inventory].[Dead stock alert].[All]" allUniqueName="[Dim_Inventory].[Dead stock alert].[All]" dimensionUniqueName="[Dim_Inventory]"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Cost Price]" caption="Cost Price" attribute="1" defaultMemberUniqueName="[Dim_Product].[Cost Price].[All]" allUniqueName="[Dim_Product].[Cost Price].[All]" dimensionUniqueName="[Dim_Product]"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avg order value]" caption="avg order value" attribute="1" defaultMemberUniqueName="[Table1].[avg order value].[All]" allUniqueName="[Table1].[avg order value].[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2" memberValueDatatype="130" unbalanced="0">
      <fieldsUsage count="2">
        <fieldUsage x="-1"/>
        <fieldUsage x="3"/>
      </fieldsUsage>
    </cacheHierarchy>
    <cacheHierarchy uniqueName="[Dim_Date].[Month (Month Index)]" caption="Month (Month Index)" attribute="1" defaultMemberUniqueName="[Dim_Date].[Month (Month Index)].[All]" allUniqueName="[Dim_Date].[Month (Month Index)].[All]" dimensionUniqueName="[Dim_Dat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Profit Margin %]" caption="Profit Margin %" measure="1" displayFolder="" measureGroup="Table1" count="0"/>
    <cacheHierarchy uniqueName="[Measures].[Average Order Value]" caption="Average Order Value" measure="1" displayFolder="" measureGroup="Table1" count="0"/>
    <cacheHierarchy uniqueName="[Measures].[No.of Orders]" caption="No.of Orders" measure="1" displayFolder="" measureGroup="Table1" count="0"/>
    <cacheHierarchy uniqueName="[Measures].[No.of cust]" caption="No.of cust" measure="1" displayFolder="" measureGroup="Table1" count="0"/>
    <cacheHierarchy uniqueName="[Measures].[Inventory turnover]" caption="Inventory turnover" measure="1" displayFolder="" measureGroup="Table1" count="0"/>
    <cacheHierarchy uniqueName="[Measures].[target Achievement %]" caption="target Achievement %" measure="1" displayFolder="" measureGroup="Table1" count="0"/>
    <cacheHierarchy uniqueName="[Measures].[repeat customer]" caption="repeat customer" measure="1" displayFolder="" measureGroup="Table1" count="0"/>
    <cacheHierarchy uniqueName="[Measures].[New Customers]" caption="New Customers" measure="1" displayFolder="" measureGroup="Table1" count="0"/>
    <cacheHierarchy uniqueName="[Measures].[Retention Rate]" caption="Retention Rate" measure="1" displayFolder="" measureGroup="Table1" count="0"/>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7">
    <dimension name="Dim_Customer" uniqueName="[Dim_Customer]" caption="Dim_Customer"/>
    <dimension name="Dim_Date" uniqueName="[Dim_Date]" caption="Dim_Date"/>
    <dimension name="Dim_Inventory" uniqueName="[Dim_Inventory]" caption="Dim_Inventory"/>
    <dimension name="Dim_Product" uniqueName="[Dim_Product]" caption="Dim_Product"/>
    <dimension measure="1" name="Measures" uniqueName="[Measures]" caption="Measures"/>
    <dimension name="Table1" uniqueName="[Table1]" caption="Table1"/>
    <dimension name="Table7" uniqueName="[Table7]" caption="Table7"/>
  </dimensions>
  <measureGroups count="6">
    <measureGroup name="Dim_Customer" caption="Dim_Customer"/>
    <measureGroup name="Dim_Date" caption="Dim_Date"/>
    <measureGroup name="Dim_Inventory" caption="Dim_Inventory"/>
    <measureGroup name="Dim_Product" caption="Dim_Product"/>
    <measureGroup name="Table1" caption="Table1"/>
    <measureGroup name="Table7" caption="Table7"/>
  </measureGroups>
  <maps count="12">
    <map measureGroup="0" dimension="0"/>
    <map measureGroup="0" dimension="6"/>
    <map measureGroup="1" dimension="1"/>
    <map measureGroup="2" dimension="2"/>
    <map measureGroup="3" dimension="2"/>
    <map measureGroup="3" dimension="3"/>
    <map measureGroup="4" dimension="0"/>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4.997169328701" backgroundQuery="1" createdVersion="8" refreshedVersion="8" minRefreshableVersion="3" recordCount="0" supportSubquery="1" supportAdvancedDrill="1" xr:uid="{3CA48713-2F21-403B-8604-D97BE0E1B463}">
  <cacheSource type="external" connectionId="1"/>
  <cacheFields count="3">
    <cacheField name="[Measures].[Sum of Sales]" caption="Sum of Sales" numFmtId="0" hierarchy="52" level="32767"/>
    <cacheField name="[Dim_Date].[Month].[Month]" caption="Month" numFmtId="0" hierarchy="5" level="1">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cacheField>
    <cacheField name="[Table7].[Region].[Region]" caption="Region" numFmtId="0" hierarchy="29" level="1">
      <sharedItems containsSemiMixedTypes="0" containsNonDate="0" containsString="0"/>
    </cacheField>
  </cacheFields>
  <cacheHierarchies count="6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Month]" caption="Month" attribute="1" time="1" defaultMemberUniqueName="[Dim_Date].[Month].[All]" allUniqueName="[Dim_Date].[Month].[All]" dimensionUniqueName="[Dim_Date]" displayFolder="" count="2" memberValueDatatype="7" unbalanced="0">
      <fieldsUsage count="2">
        <fieldUsage x="-1"/>
        <fieldUsage x="1"/>
      </fieldsUsage>
    </cacheHierarchy>
    <cacheHierarchy uniqueName="[Dim_Date].[Target Sales]" caption="Target Sales" attribute="1" defaultMemberUniqueName="[Dim_Date].[Target Sales].[All]" allUniqueName="[Dim_Date].[Target Sales].[All]" dimensionUniqueName="[Dim_Date]" displayFolder="" count="0" memberValueDatatype="20" unbalanced="0"/>
    <cacheHierarchy uniqueName="[Dim_Date].[Target achivement]" caption="Target achivement" attribute="1" defaultMemberUniqueName="[Dim_Date].[Target achivement].[All]" allUniqueName="[Dim_Date].[Target achivement].[All]" dimensionUniqueName="[Dim_Date]" displayFolder="" count="0" memberValueDatatype="5" unbalanced="0"/>
    <cacheHierarchy uniqueName="[Dim_Date].[Month (Month)]" caption="Month (Month)" attribute="1" defaultMemberUniqueName="[Dim_Date].[Month (Month)].[All]" allUniqueName="[Dim_Date].[Month (Month)].[All]" dimensionUniqueName="[Dim_Date]" displayFolder="" count="0" memberValueDatatype="130" unbalanced="0"/>
    <cacheHierarchy uniqueName="[Dim_Inventory].[ProductID]" caption="ProductID" attribute="1" defaultMemberUniqueName="[Dim_Inventory].[ProductID].[All]" allUniqueName="[Dim_Inventory].[ProductID].[All]" dimensionUniqueName="[Dim_Inventory]" displayFolder="" count="0" memberValueDatatype="130" unbalanced="0"/>
    <cacheHierarchy uniqueName="[Dim_Inventory].[Current Stock]" caption="Current Stock" attribute="1" defaultMemberUniqueName="[Dim_Inventory].[Current Stock].[All]" allUniqueName="[Dim_Inventory].[Current Stock].[All]" dimensionUniqueName="[Dim_Inventory]" displayFolder="" count="0" memberValueDatatype="20" unbalanced="0"/>
    <cacheHierarchy uniqueName="[Dim_Inventory].[Reorder Level]" caption="Reorder Level" attribute="1" defaultMemberUniqueName="[Dim_Inventory].[Reorder Level].[All]" allUniqueName="[Dim_Inventory].[Reorder Level].[All]" dimensionUniqueName="[Dim_Inventory]" displayFolder="" count="0" memberValueDatatype="20" unbalanced="0"/>
    <cacheHierarchy uniqueName="[Dim_Inventory].[Reorder alert]" caption="Reorder alert" attribute="1" defaultMemberUniqueName="[Dim_Inventory].[Reorder alert].[All]" allUniqueName="[Dim_Inventory].[Reorder alert].[All]" dimensionUniqueName="[Dim_Inventory]" displayFolder="" count="0" memberValueDatatype="130" unbalanced="0"/>
    <cacheHierarchy uniqueName="[Dim_Inventory].[Dead stock alert]" caption="Dead stock alert" attribute="1" defaultMemberUniqueName="[Dim_Inventory].[Dead stock alert].[All]" allUniqueName="[Dim_Inventory].[Dead stock alert].[All]" dimensionUniqueName="[Dim_Inventory]"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Cost Price]" caption="Cost Price" attribute="1" defaultMemberUniqueName="[Dim_Product].[Cost Price].[All]" allUniqueName="[Dim_Product].[Cost Price].[All]" dimensionUniqueName="[Dim_Product]"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avg order value]" caption="avg order value" attribute="1" defaultMemberUniqueName="[Table1].[avg order value].[All]" allUniqueName="[Table1].[avg order valu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2" memberValueDatatype="130" unbalanced="0">
      <fieldsUsage count="2">
        <fieldUsage x="-1"/>
        <fieldUsage x="2"/>
      </fieldsUsage>
    </cacheHierarchy>
    <cacheHierarchy uniqueName="[Dim_Date].[Month (Month Index)]" caption="Month (Month Index)" attribute="1" defaultMemberUniqueName="[Dim_Date].[Month (Month Index)].[All]" allUniqueName="[Dim_Date].[Month (Month Index)].[All]" dimensionUniqueName="[Dim_Dat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Profit Margin %]" caption="Profit Margin %" measure="1" displayFolder="" measureGroup="Table1" count="0"/>
    <cacheHierarchy uniqueName="[Measures].[Average Order Value]" caption="Average Order Value" measure="1" displayFolder="" measureGroup="Table1" count="0"/>
    <cacheHierarchy uniqueName="[Measures].[No.of Orders]" caption="No.of Orders" measure="1" displayFolder="" measureGroup="Table1" count="0"/>
    <cacheHierarchy uniqueName="[Measures].[No.of cust]" caption="No.of cust" measure="1" displayFolder="" measureGroup="Table1" count="0"/>
    <cacheHierarchy uniqueName="[Measures].[Inventory turnover]" caption="Inventory turnover" measure="1" displayFolder="" measureGroup="Table1" count="0"/>
    <cacheHierarchy uniqueName="[Measures].[target Achievement %]" caption="target Achievement %" measure="1" displayFolder="" measureGroup="Table1" count="0"/>
    <cacheHierarchy uniqueName="[Measures].[repeat customer]" caption="repeat customer" measure="1" displayFolder="" measureGroup="Table1" count="0"/>
    <cacheHierarchy uniqueName="[Measures].[New Customers]" caption="New Customers" measure="1" displayFolder="" measureGroup="Table1" count="0"/>
    <cacheHierarchy uniqueName="[Measures].[Retention Rate]" caption="Retention Rate" measure="1" displayFolder="" measureGroup="Table1" count="0"/>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hidden="1">
      <extLst>
        <ext xmlns:x15="http://schemas.microsoft.com/office/spreadsheetml/2010/11/main" uri="{B97F6D7D-B522-45F9-BDA1-12C45D357490}">
          <x15:cacheHierarchy aggregatedColumn="6"/>
        </ext>
      </extLst>
    </cacheHierarchy>
  </cacheHierarchies>
  <kpis count="0"/>
  <dimensions count="7">
    <dimension name="Dim_Customer" uniqueName="[Dim_Customer]" caption="Dim_Customer"/>
    <dimension name="Dim_Date" uniqueName="[Dim_Date]" caption="Dim_Date"/>
    <dimension name="Dim_Inventory" uniqueName="[Dim_Inventory]" caption="Dim_Inventory"/>
    <dimension name="Dim_Product" uniqueName="[Dim_Product]" caption="Dim_Product"/>
    <dimension measure="1" name="Measures" uniqueName="[Measures]" caption="Measures"/>
    <dimension name="Table1" uniqueName="[Table1]" caption="Table1"/>
    <dimension name="Table7" uniqueName="[Table7]" caption="Table7"/>
  </dimensions>
  <measureGroups count="6">
    <measureGroup name="Dim_Customer" caption="Dim_Customer"/>
    <measureGroup name="Dim_Date" caption="Dim_Date"/>
    <measureGroup name="Dim_Inventory" caption="Dim_Inventory"/>
    <measureGroup name="Dim_Product" caption="Dim_Product"/>
    <measureGroup name="Table1" caption="Table1"/>
    <measureGroup name="Table7" caption="Table7"/>
  </measureGroups>
  <maps count="12">
    <map measureGroup="0" dimension="0"/>
    <map measureGroup="0" dimension="6"/>
    <map measureGroup="1" dimension="1"/>
    <map measureGroup="2" dimension="2"/>
    <map measureGroup="3" dimension="2"/>
    <map measureGroup="3" dimension="3"/>
    <map measureGroup="4" dimension="0"/>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4.997169907409" backgroundQuery="1" createdVersion="8" refreshedVersion="8" minRefreshableVersion="3" recordCount="0" supportSubquery="1" supportAdvancedDrill="1" xr:uid="{F624DDCB-F8EE-4774-A7D8-E0139BCF9865}">
  <cacheSource type="external" connectionId="1"/>
  <cacheFields count="5">
    <cacheField name="[Dim_Product].[Product Name].[Product Name]" caption="Product Name" numFmtId="0" hierarchy="15" level="1">
      <sharedItems count="30">
        <s v="Bookshelf"/>
        <s v="Cabinet"/>
        <s v="Calculator"/>
        <s v="Chair"/>
        <s v="Desk"/>
        <s v="Eraser Pack"/>
        <s v="File Folder"/>
        <s v="Hard Disk"/>
        <s v="Headphones"/>
        <s v="Keyboard"/>
        <s v="Lamp"/>
        <s v="Laptop"/>
        <s v="Marker Pack"/>
        <s v="Monitor"/>
        <s v="Mouse"/>
        <s v="Notebook"/>
        <s v="Office Chair"/>
        <s v="Pen Pack"/>
        <s v="Printer"/>
        <s v="Projector"/>
        <s v="Router"/>
        <s v="Scanner"/>
        <s v="Smart TV"/>
        <s v="Sofa"/>
        <s v="Speaker"/>
        <s v="Standing Desk"/>
        <s v="Stapler"/>
        <s v="Tablet"/>
        <s v="Webcam"/>
        <s v="Whiteboard"/>
      </sharedItems>
    </cacheField>
    <cacheField name="[Table1].[Date].[Date]" caption="Date" numFmtId="0" hierarchy="19" level="1">
      <sharedItems containsSemiMixedTypes="0" containsNonDate="0" containsDate="1" containsString="0" minDate="2025-01-01T00:00:00" maxDate="2025-06-20T00:00:00" count="30">
        <d v="2025-01-01T00:00:00"/>
        <d v="2025-01-02T00:00:00"/>
        <d v="2025-01-03T00:00:00"/>
        <d v="2025-01-04T00:00:00"/>
        <d v="2025-01-05T00:00:00"/>
        <d v="2025-01-20T00:00:00"/>
        <d v="2025-01-21T00:00:00"/>
        <d v="2025-01-22T00:00:00"/>
        <d v="2025-01-23T00:00:00"/>
        <d v="2025-01-24T00:00:00"/>
        <d v="2025-01-25T00:00:00"/>
        <d v="2025-01-26T00:00:00"/>
        <d v="2025-01-27T00:00:00"/>
        <d v="2025-01-28T00:00:00"/>
        <d v="2025-01-29T00:00:00"/>
        <d v="2025-01-30T00:00:00"/>
        <d v="2025-02-06T00:00:00"/>
        <d v="2025-02-07T00:00:00"/>
        <d v="2025-03-08T00:00:00"/>
        <d v="2025-03-09T00:00:00"/>
        <d v="2025-03-10T00:00:00"/>
        <d v="2025-04-11T00:00:00"/>
        <d v="2025-04-12T00:00:00"/>
        <d v="2025-04-13T00:00:00"/>
        <d v="2025-05-14T00:00:00"/>
        <d v="2025-05-15T00:00:00"/>
        <d v="2025-05-16T00:00:00"/>
        <d v="2025-05-17T00:00:00"/>
        <d v="2025-06-18T00:00:00"/>
        <d v="2025-06-19T00:00:00"/>
      </sharedItems>
    </cacheField>
    <cacheField name="[Measures].[Sum of Sales]" caption="Sum of Sales" numFmtId="0" hierarchy="52" level="32767"/>
    <cacheField name="[Table1].[Date (Month)].[Date (Month)]" caption="Date (Month)" numFmtId="0" hierarchy="27" level="1">
      <sharedItems count="6">
        <s v="Jan"/>
        <s v="Feb"/>
        <s v="Mar"/>
        <s v="Apr"/>
        <s v="May"/>
        <s v="Jun"/>
      </sharedItems>
    </cacheField>
    <cacheField name="[Table7].[Region].[Region]" caption="Region" numFmtId="0" hierarchy="29" level="1">
      <sharedItems containsSemiMixedTypes="0" containsNonDate="0" containsString="0"/>
    </cacheField>
  </cacheFields>
  <cacheHierarchies count="6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Month]" caption="Month" attribute="1" time="1" defaultMemberUniqueName="[Dim_Date].[Month].[All]" allUniqueName="[Dim_Date].[Month].[All]" dimensionUniqueName="[Dim_Date]" displayFolder="" count="2" memberValueDatatype="7" unbalanced="0"/>
    <cacheHierarchy uniqueName="[Dim_Date].[Target Sales]" caption="Target Sales" attribute="1" defaultMemberUniqueName="[Dim_Date].[Target Sales].[All]" allUniqueName="[Dim_Date].[Target Sales].[All]" dimensionUniqueName="[Dim_Date]" displayFolder="" count="0" memberValueDatatype="20" unbalanced="0"/>
    <cacheHierarchy uniqueName="[Dim_Date].[Target achivement]" caption="Target achivement" attribute="1" defaultMemberUniqueName="[Dim_Date].[Target achivement].[All]" allUniqueName="[Dim_Date].[Target achivement].[All]" dimensionUniqueName="[Dim_Date]" displayFolder="" count="0" memberValueDatatype="5" unbalanced="0"/>
    <cacheHierarchy uniqueName="[Dim_Date].[Month (Month)]" caption="Month (Month)" attribute="1" defaultMemberUniqueName="[Dim_Date].[Month (Month)].[All]" allUniqueName="[Dim_Date].[Month (Month)].[All]" dimensionUniqueName="[Dim_Date]" displayFolder="" count="0" memberValueDatatype="130" unbalanced="0"/>
    <cacheHierarchy uniqueName="[Dim_Inventory].[ProductID]" caption="ProductID" attribute="1" defaultMemberUniqueName="[Dim_Inventory].[ProductID].[All]" allUniqueName="[Dim_Inventory].[ProductID].[All]" dimensionUniqueName="[Dim_Inventory]" displayFolder="" count="0" memberValueDatatype="130" unbalanced="0"/>
    <cacheHierarchy uniqueName="[Dim_Inventory].[Current Stock]" caption="Current Stock" attribute="1" defaultMemberUniqueName="[Dim_Inventory].[Current Stock].[All]" allUniqueName="[Dim_Inventory].[Current Stock].[All]" dimensionUniqueName="[Dim_Inventory]" displayFolder="" count="0" memberValueDatatype="20" unbalanced="0"/>
    <cacheHierarchy uniqueName="[Dim_Inventory].[Reorder Level]" caption="Reorder Level" attribute="1" defaultMemberUniqueName="[Dim_Inventory].[Reorder Level].[All]" allUniqueName="[Dim_Inventory].[Reorder Level].[All]" dimensionUniqueName="[Dim_Inventory]" displayFolder="" count="0" memberValueDatatype="20" unbalanced="0"/>
    <cacheHierarchy uniqueName="[Dim_Inventory].[Reorder alert]" caption="Reorder alert" attribute="1" defaultMemberUniqueName="[Dim_Inventory].[Reorder alert].[All]" allUniqueName="[Dim_Inventory].[Reorder alert].[All]" dimensionUniqueName="[Dim_Inventory]" displayFolder="" count="0" memberValueDatatype="130" unbalanced="0"/>
    <cacheHierarchy uniqueName="[Dim_Inventory].[Dead stock alert]" caption="Dead stock alert" attribute="1" defaultMemberUniqueName="[Dim_Inventory].[Dead stock alert].[All]" allUniqueName="[Dim_Inventory].[Dead stock alert].[All]" dimensionUniqueName="[Dim_Inventory]"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fieldsUsage count="2">
        <fieldUsage x="-1"/>
        <fieldUsage x="0"/>
      </fieldsUsage>
    </cacheHierarchy>
    <cacheHierarchy uniqueName="[Dim_Product].[Category]" caption="Category" attribute="1" defaultMemberUniqueName="[Dim_Product].[Category].[All]" allUniqueName="[Dim_Product].[Category].[All]" dimensionUniqueName="[Dim_Product]" displayFolder="" count="2" memberValueDatatype="130" unbalanced="0"/>
    <cacheHierarchy uniqueName="[Dim_Product].[Cost Price]" caption="Cost Price" attribute="1" defaultMemberUniqueName="[Dim_Product].[Cost Price].[All]" allUniqueName="[Dim_Product].[Cost Price].[All]" dimensionUniqueName="[Dim_Product]"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1"/>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avg order value]" caption="avg order value" attribute="1" defaultMemberUniqueName="[Table1].[avg order value].[All]" allUniqueName="[Table1].[avg order value].[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3"/>
      </fieldsUsage>
    </cacheHierarchy>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2" memberValueDatatype="130" unbalanced="0">
      <fieldsUsage count="2">
        <fieldUsage x="-1"/>
        <fieldUsage x="4"/>
      </fieldsUsage>
    </cacheHierarchy>
    <cacheHierarchy uniqueName="[Dim_Date].[Month (Month Index)]" caption="Month (Month Index)" attribute="1" defaultMemberUniqueName="[Dim_Date].[Month (Month Index)].[All]" allUniqueName="[Dim_Date].[Month (Month Index)].[All]" dimensionUniqueName="[Dim_Dat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Profit Margin %]" caption="Profit Margin %" measure="1" displayFolder="" measureGroup="Table1" count="0"/>
    <cacheHierarchy uniqueName="[Measures].[Average Order Value]" caption="Average Order Value" measure="1" displayFolder="" measureGroup="Table1" count="0"/>
    <cacheHierarchy uniqueName="[Measures].[No.of Orders]" caption="No.of Orders" measure="1" displayFolder="" measureGroup="Table1" count="0"/>
    <cacheHierarchy uniqueName="[Measures].[No.of cust]" caption="No.of cust" measure="1" displayFolder="" measureGroup="Table1" count="0"/>
    <cacheHierarchy uniqueName="[Measures].[Inventory turnover]" caption="Inventory turnover" measure="1" displayFolder="" measureGroup="Table1" count="0"/>
    <cacheHierarchy uniqueName="[Measures].[target Achievement %]" caption="target Achievement %" measure="1" displayFolder="" measureGroup="Table1" count="0"/>
    <cacheHierarchy uniqueName="[Measures].[repeat customer]" caption="repeat customer" measure="1" displayFolder="" measureGroup="Table1" count="0"/>
    <cacheHierarchy uniqueName="[Measures].[New Customers]" caption="New Customers" measure="1" displayFolder="" measureGroup="Table1" count="0"/>
    <cacheHierarchy uniqueName="[Measures].[Retention Rate]" caption="Retention Rate" measure="1" displayFolder="" measureGroup="Table1" count="0"/>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hidden="1">
      <extLst>
        <ext xmlns:x15="http://schemas.microsoft.com/office/spreadsheetml/2010/11/main" uri="{B97F6D7D-B522-45F9-BDA1-12C45D357490}">
          <x15:cacheHierarchy aggregatedColumn="6"/>
        </ext>
      </extLst>
    </cacheHierarchy>
  </cacheHierarchies>
  <kpis count="0"/>
  <dimensions count="7">
    <dimension name="Dim_Customer" uniqueName="[Dim_Customer]" caption="Dim_Customer"/>
    <dimension name="Dim_Date" uniqueName="[Dim_Date]" caption="Dim_Date"/>
    <dimension name="Dim_Inventory" uniqueName="[Dim_Inventory]" caption="Dim_Inventory"/>
    <dimension name="Dim_Product" uniqueName="[Dim_Product]" caption="Dim_Product"/>
    <dimension measure="1" name="Measures" uniqueName="[Measures]" caption="Measures"/>
    <dimension name="Table1" uniqueName="[Table1]" caption="Table1"/>
    <dimension name="Table7" uniqueName="[Table7]" caption="Table7"/>
  </dimensions>
  <measureGroups count="6">
    <measureGroup name="Dim_Customer" caption="Dim_Customer"/>
    <measureGroup name="Dim_Date" caption="Dim_Date"/>
    <measureGroup name="Dim_Inventory" caption="Dim_Inventory"/>
    <measureGroup name="Dim_Product" caption="Dim_Product"/>
    <measureGroup name="Table1" caption="Table1"/>
    <measureGroup name="Table7" caption="Table7"/>
  </measureGroups>
  <maps count="12">
    <map measureGroup="0" dimension="0"/>
    <map measureGroup="0" dimension="6"/>
    <map measureGroup="1" dimension="1"/>
    <map measureGroup="2" dimension="2"/>
    <map measureGroup="3" dimension="2"/>
    <map measureGroup="3" dimension="3"/>
    <map measureGroup="4" dimension="0"/>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5.014644444447" backgroundQuery="1" createdVersion="8" refreshedVersion="8" minRefreshableVersion="3" recordCount="0" supportSubquery="1" supportAdvancedDrill="1" xr:uid="{54A5EE92-CD8A-475D-B3F9-9301D37BAE4B}">
  <cacheSource type="external" connectionId="1"/>
  <cacheFields count="9">
    <cacheField name="[Measures].[Total Sales]" caption="Total Sales" numFmtId="0" hierarchy="32" level="32767"/>
    <cacheField name="[Measures].[Total Profit]" caption="Total Profit" numFmtId="0" hierarchy="33" level="32767"/>
    <cacheField name="[Measures].[Profit Margin %]" caption="Profit Margin %" numFmtId="0" hierarchy="34" level="32767"/>
    <cacheField name="[Measures].[Average Order Value]" caption="Average Order Value" numFmtId="0" hierarchy="35" level="32767"/>
    <cacheField name="[Measures].[No.of Orders]" caption="No.of Orders" numFmtId="0" hierarchy="36" level="32767"/>
    <cacheField name="[Measures].[No.of cust]" caption="No.of cust" numFmtId="0" hierarchy="37" level="32767"/>
    <cacheField name="[Measures].[Inventory turnover]" caption="Inventory turnover" numFmtId="0" hierarchy="38" level="32767"/>
    <cacheField name="[Measures].[target Achievement %]" caption="target Achievement %" numFmtId="0" hierarchy="39" level="32767"/>
    <cacheField name="[Dim_Customer].[Segment].[Segment]" caption="Segment" numFmtId="0" hierarchy="4" level="1">
      <sharedItems containsSemiMixedTypes="0" containsNonDate="0" containsString="0"/>
    </cacheField>
  </cacheFields>
  <cacheHierarchies count="6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fieldsUsage count="2">
        <fieldUsage x="-1"/>
        <fieldUsage x="8"/>
      </fieldsUsage>
    </cacheHierarchy>
    <cacheHierarchy uniqueName="[Dim_Date].[Month]" caption="Month" attribute="1" time="1" defaultMemberUniqueName="[Dim_Date].[Month].[All]" allUniqueName="[Dim_Date].[Month].[All]" dimensionUniqueName="[Dim_Date]" displayFolder="" count="2" memberValueDatatype="7" unbalanced="0"/>
    <cacheHierarchy uniqueName="[Dim_Date].[Target Sales]" caption="Target Sales" attribute="1" defaultMemberUniqueName="[Dim_Date].[Target Sales].[All]" allUniqueName="[Dim_Date].[Target Sales].[All]" dimensionUniqueName="[Dim_Date]" displayFolder="" count="0" memberValueDatatype="20" unbalanced="0"/>
    <cacheHierarchy uniqueName="[Dim_Date].[Target achivement]" caption="Target achivement" attribute="1" defaultMemberUniqueName="[Dim_Date].[Target achivement].[All]" allUniqueName="[Dim_Date].[Target achivement].[All]" dimensionUniqueName="[Dim_Date]" displayFolder="" count="0" memberValueDatatype="5" unbalanced="0"/>
    <cacheHierarchy uniqueName="[Dim_Date].[Month (Month)]" caption="Month (Month)" attribute="1" defaultMemberUniqueName="[Dim_Date].[Month (Month)].[All]" allUniqueName="[Dim_Date].[Month (Month)].[All]" dimensionUniqueName="[Dim_Date]" displayFolder="" count="2" memberValueDatatype="130" unbalanced="0"/>
    <cacheHierarchy uniqueName="[Dim_Inventory].[ProductID]" caption="ProductID" attribute="1" defaultMemberUniqueName="[Dim_Inventory].[ProductID].[All]" allUniqueName="[Dim_Inventory].[ProductID].[All]" dimensionUniqueName="[Dim_Inventory]" displayFolder="" count="0" memberValueDatatype="130" unbalanced="0"/>
    <cacheHierarchy uniqueName="[Dim_Inventory].[Current Stock]" caption="Current Stock" attribute="1" defaultMemberUniqueName="[Dim_Inventory].[Current Stock].[All]" allUniqueName="[Dim_Inventory].[Current Stock].[All]" dimensionUniqueName="[Dim_Inventory]" displayFolder="" count="0" memberValueDatatype="20" unbalanced="0"/>
    <cacheHierarchy uniqueName="[Dim_Inventory].[Reorder Level]" caption="Reorder Level" attribute="1" defaultMemberUniqueName="[Dim_Inventory].[Reorder Level].[All]" allUniqueName="[Dim_Inventory].[Reorder Level].[All]" dimensionUniqueName="[Dim_Inventory]" displayFolder="" count="0" memberValueDatatype="20" unbalanced="0"/>
    <cacheHierarchy uniqueName="[Dim_Inventory].[Reorder alert]" caption="Reorder alert" attribute="1" defaultMemberUniqueName="[Dim_Inventory].[Reorder alert].[All]" allUniqueName="[Dim_Inventory].[Reorder alert].[All]" dimensionUniqueName="[Dim_Inventory]" displayFolder="" count="0" memberValueDatatype="130" unbalanced="0"/>
    <cacheHierarchy uniqueName="[Dim_Inventory].[Dead stock alert]" caption="Dead stock alert" attribute="1" defaultMemberUniqueName="[Dim_Inventory].[Dead stock alert].[All]" allUniqueName="[Dim_Inventory].[Dead stock alert].[All]" dimensionUniqueName="[Dim_Inventory]"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Cost Price]" caption="Cost Price" attribute="1" defaultMemberUniqueName="[Dim_Product].[Cost Price].[All]" allUniqueName="[Dim_Product].[Cost Price].[All]" dimensionUniqueName="[Dim_Product]"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avg order value]" caption="avg order value" attribute="1" defaultMemberUniqueName="[Table1].[avg order value].[All]" allUniqueName="[Table1].[avg order valu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2" memberValueDatatype="130" unbalanced="0"/>
    <cacheHierarchy uniqueName="[Dim_Date].[Month (Month Index)]" caption="Month (Month Index)" attribute="1" defaultMemberUniqueName="[Dim_Date].[Month (Month Index)].[All]" allUniqueName="[Dim_Date].[Month (Month Index)].[All]" dimensionUniqueName="[Dim_Dat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 Sales]" caption="Total Sales" measure="1" displayFolder="" measureGroup="Table1" count="0" oneField="1">
      <fieldsUsage count="1">
        <fieldUsage x="0"/>
      </fieldsUsage>
    </cacheHierarchy>
    <cacheHierarchy uniqueName="[Measures].[Total Profit]" caption="Total Profit" measure="1" displayFolder="" measureGroup="Table1" count="0" oneField="1">
      <fieldsUsage count="1">
        <fieldUsage x="1"/>
      </fieldsUsage>
    </cacheHierarchy>
    <cacheHierarchy uniqueName="[Measures].[Profit Margin %]" caption="Profit Margin %" measure="1" displayFolder="" measureGroup="Table1" count="0" oneField="1">
      <fieldsUsage count="1">
        <fieldUsage x="2"/>
      </fieldsUsage>
    </cacheHierarchy>
    <cacheHierarchy uniqueName="[Measures].[Average Order Value]" caption="Average Order Value" measure="1" displayFolder="" measureGroup="Table1" count="0" oneField="1">
      <fieldsUsage count="1">
        <fieldUsage x="3"/>
      </fieldsUsage>
    </cacheHierarchy>
    <cacheHierarchy uniqueName="[Measures].[No.of Orders]" caption="No.of Orders" measure="1" displayFolder="" measureGroup="Table1" count="0" oneField="1">
      <fieldsUsage count="1">
        <fieldUsage x="4"/>
      </fieldsUsage>
    </cacheHierarchy>
    <cacheHierarchy uniqueName="[Measures].[No.of cust]" caption="No.of cust" measure="1" displayFolder="" measureGroup="Table1" count="0" oneField="1">
      <fieldsUsage count="1">
        <fieldUsage x="5"/>
      </fieldsUsage>
    </cacheHierarchy>
    <cacheHierarchy uniqueName="[Measures].[Inventory turnover]" caption="Inventory turnover" measure="1" displayFolder="" measureGroup="Table1" count="0" oneField="1">
      <fieldsUsage count="1">
        <fieldUsage x="6"/>
      </fieldsUsage>
    </cacheHierarchy>
    <cacheHierarchy uniqueName="[Measures].[target Achievement %]" caption="target Achievement %" measure="1" displayFolder="" measureGroup="Table1" count="0" oneField="1">
      <fieldsUsage count="1">
        <fieldUsage x="7"/>
      </fieldsUsage>
    </cacheHierarchy>
    <cacheHierarchy uniqueName="[Measures].[repeat customer]" caption="repeat customer" measure="1" displayFolder="" measureGroup="Table1" count="0"/>
    <cacheHierarchy uniqueName="[Measures].[New Customers]" caption="New Customers" measure="1" displayFolder="" measureGroup="Table1" count="0"/>
    <cacheHierarchy uniqueName="[Measures].[Retention Rate]" caption="Retention Rate" measure="1" displayFolder="" measureGroup="Table1" count="0"/>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hidden="1">
      <extLst>
        <ext xmlns:x15="http://schemas.microsoft.com/office/spreadsheetml/2010/11/main" uri="{B97F6D7D-B522-45F9-BDA1-12C45D357490}">
          <x15:cacheHierarchy aggregatedColumn="6"/>
        </ext>
      </extLst>
    </cacheHierarchy>
  </cacheHierarchies>
  <kpis count="0"/>
  <dimensions count="7">
    <dimension name="Dim_Customer" uniqueName="[Dim_Customer]" caption="Dim_Customer"/>
    <dimension name="Dim_Date" uniqueName="[Dim_Date]" caption="Dim_Date"/>
    <dimension name="Dim_Inventory" uniqueName="[Dim_Inventory]" caption="Dim_Inventory"/>
    <dimension name="Dim_Product" uniqueName="[Dim_Product]" caption="Dim_Product"/>
    <dimension measure="1" name="Measures" uniqueName="[Measures]" caption="Measures"/>
    <dimension name="Table1" uniqueName="[Table1]" caption="Table1"/>
    <dimension name="Table7" uniqueName="[Table7]" caption="Table7"/>
  </dimensions>
  <measureGroups count="6">
    <measureGroup name="Dim_Customer" caption="Dim_Customer"/>
    <measureGroup name="Dim_Date" caption="Dim_Date"/>
    <measureGroup name="Dim_Inventory" caption="Dim_Inventory"/>
    <measureGroup name="Dim_Product" caption="Dim_Product"/>
    <measureGroup name="Table1" caption="Table1"/>
    <measureGroup name="Table7" caption="Table7"/>
  </measureGroups>
  <maps count="12">
    <map measureGroup="0" dimension="0"/>
    <map measureGroup="0" dimension="6"/>
    <map measureGroup="1" dimension="1"/>
    <map measureGroup="2" dimension="2"/>
    <map measureGroup="3" dimension="2"/>
    <map measureGroup="3" dimension="3"/>
    <map measureGroup="4" dimension="0"/>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4.811040972221" backgroundQuery="1" createdVersion="3" refreshedVersion="8" minRefreshableVersion="3" recordCount="0" supportSubquery="1" supportAdvancedDrill="1" xr:uid="{99FDA501-15FE-4E80-8505-6AF3E0F4914F}">
  <cacheSource type="external" connectionId="1">
    <extLst>
      <ext xmlns:x14="http://schemas.microsoft.com/office/spreadsheetml/2009/9/main" uri="{F057638F-6D5F-4e77-A914-E7F072B9BCA8}">
        <x14:sourceConnection name="ThisWorkbookDataModel"/>
      </ext>
    </extLst>
  </cacheSource>
  <cacheFields count="0"/>
  <cacheHierarchies count="6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Month]" caption="Month" attribute="1" time="1" defaultMemberUniqueName="[Dim_Date].[Month].[All]" allUniqueName="[Dim_Date].[Month].[All]" dimensionUniqueName="[Dim_Date]" displayFolder="" count="2" memberValueDatatype="7" unbalanced="0"/>
    <cacheHierarchy uniqueName="[Dim_Date].[Target Sales]" caption="Target Sales" attribute="1" defaultMemberUniqueName="[Dim_Date].[Target Sales].[All]" allUniqueName="[Dim_Date].[Target Sales].[All]" dimensionUniqueName="[Dim_Date]" displayFolder="" count="0" memberValueDatatype="20" unbalanced="0"/>
    <cacheHierarchy uniqueName="[Dim_Date].[Target achivement]" caption="Target achivement" attribute="1" defaultMemberUniqueName="[Dim_Date].[Target achivement].[All]" allUniqueName="[Dim_Date].[Target achivement].[All]" dimensionUniqueName="[Dim_Date]" displayFolder="" count="0" memberValueDatatype="5" unbalanced="0"/>
    <cacheHierarchy uniqueName="[Dim_Date].[Month (Month)]" caption="Month (Month)" attribute="1" defaultMemberUniqueName="[Dim_Date].[Month (Month)].[All]" allUniqueName="[Dim_Date].[Month (Month)].[All]" dimensionUniqueName="[Dim_Date]" displayFolder="" count="0" memberValueDatatype="130" unbalanced="0"/>
    <cacheHierarchy uniqueName="[Dim_Inventory].[ProductID]" caption="ProductID" attribute="1" defaultMemberUniqueName="[Dim_Inventory].[ProductID].[All]" allUniqueName="[Dim_Inventory].[ProductID].[All]" dimensionUniqueName="[Dim_Inventory]" displayFolder="" count="0" memberValueDatatype="130" unbalanced="0"/>
    <cacheHierarchy uniqueName="[Dim_Inventory].[Current Stock]" caption="Current Stock" attribute="1" defaultMemberUniqueName="[Dim_Inventory].[Current Stock].[All]" allUniqueName="[Dim_Inventory].[Current Stock].[All]" dimensionUniqueName="[Dim_Inventory]" displayFolder="" count="0" memberValueDatatype="20" unbalanced="0"/>
    <cacheHierarchy uniqueName="[Dim_Inventory].[Reorder Level]" caption="Reorder Level" attribute="1" defaultMemberUniqueName="[Dim_Inventory].[Reorder Level].[All]" allUniqueName="[Dim_Inventory].[Reorder Level].[All]" dimensionUniqueName="[Dim_Inventory]" displayFolder="" count="0" memberValueDatatype="20" unbalanced="0"/>
    <cacheHierarchy uniqueName="[Dim_Inventory].[Reorder alert]" caption="Reorder alert" attribute="1" defaultMemberUniqueName="[Dim_Inventory].[Reorder alert].[All]" allUniqueName="[Dim_Inventory].[Reorder alert].[All]" dimensionUniqueName="[Dim_Inventory]" displayFolder="" count="0" memberValueDatatype="130" unbalanced="0"/>
    <cacheHierarchy uniqueName="[Dim_Inventory].[Dead stock alert]" caption="Dead stock alert" attribute="1" defaultMemberUniqueName="[Dim_Inventory].[Dead stock alert].[All]" allUniqueName="[Dim_Inventory].[Dead stock alert].[All]" dimensionUniqueName="[Dim_Inventory]"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Cost Price]" caption="Cost Price" attribute="1" defaultMemberUniqueName="[Dim_Product].[Cost Price].[All]" allUniqueName="[Dim_Product].[Cost Price].[All]" dimensionUniqueName="[Dim_Product]"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avg order value]" caption="avg order value" attribute="1" defaultMemberUniqueName="[Table1].[avg order value].[All]" allUniqueName="[Table1].[avg order value].[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7].[State]" caption="State" attribute="1" defaultMemberUniqueName="[Table7].[State].[All]" allUniqueName="[Table7].[State].[All]" dimensionUniqueName="[Table7]" displayFolder="" count="0" memberValueDatatype="130" unbalanced="0"/>
    <cacheHierarchy uniqueName="[Table7].[Region]" caption="Region" attribute="1" defaultMemberUniqueName="[Table7].[Region].[All]" allUniqueName="[Table7].[Region].[All]" dimensionUniqueName="[Table7]" displayFolder="" count="2" memberValueDatatype="130" unbalanced="0"/>
    <cacheHierarchy uniqueName="[Dim_Date].[Month (Month Index)]" caption="Month (Month Index)" attribute="1" defaultMemberUniqueName="[Dim_Date].[Month (Month Index)].[All]" allUniqueName="[Dim_Date].[Month (Month Index)].[All]" dimensionUniqueName="[Dim_Date]" displayFolder="" count="0" memberValueDatatype="20" unbalanced="0" hidden="1"/>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Profit Margin %]" caption="Profit Margin %" measure="1" displayFolder="" measureGroup="Table1" count="0"/>
    <cacheHierarchy uniqueName="[Measures].[Average Order Value]" caption="Average Order Value" measure="1" displayFolder="" measureGroup="Table1" count="0"/>
    <cacheHierarchy uniqueName="[Measures].[No.of Orders]" caption="No.of Orders" measure="1" displayFolder="" measureGroup="Table1" count="0"/>
    <cacheHierarchy uniqueName="[Measures].[No.of cust]" caption="No.of cust" measure="1" displayFolder="" measureGroup="Table1" count="0"/>
    <cacheHierarchy uniqueName="[Measures].[Inventory turnover]" caption="Inventory turnover" measure="1" displayFolder="" measureGroup="Table1" count="0"/>
    <cacheHierarchy uniqueName="[Measures].[target Achievement %]" caption="target Achievement %" measure="1" displayFolder="" measureGroup="Table1" count="0"/>
    <cacheHierarchy uniqueName="[Measures].[repeat customer]" caption="repeat customer" measure="1" displayFolder="" measureGroup="Table1" count="0"/>
    <cacheHierarchy uniqueName="[Measures].[New Customers]" caption="New Customers" measure="1" displayFolder="" measureGroup="Table1" count="0"/>
    <cacheHierarchy uniqueName="[Measures].[Retention Rate]" caption="Retention Rate" measure="1" displayFolder="" measureGroup="Table1" count="0"/>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4"/>
        </ext>
      </extLst>
    </cacheHierarchy>
    <cacheHierarchy uniqueName="[Measures].[Sum of Current Stock]" caption="Sum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48286113"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4.962284374997" backgroundQuery="1" createdVersion="3" refreshedVersion="8" minRefreshableVersion="3" recordCount="0" supportSubquery="1" supportAdvancedDrill="1" xr:uid="{38306345-0B1B-45F1-A090-9DBB88BE28FB}">
  <cacheSource type="external" connectionId="1">
    <extLst>
      <ext xmlns:x14="http://schemas.microsoft.com/office/spreadsheetml/2009/9/main" uri="{F057638F-6D5F-4e77-A914-E7F072B9BCA8}">
        <x14:sourceConnection name="ThisWorkbookDataModel"/>
      </ext>
    </extLst>
  </cacheSource>
  <cacheFields count="0"/>
  <cacheHierarchies count="61">
    <cacheHierarchy uniqueName="[Dim_Customer].[CustomerID]" caption="CustomerID" attribute="1" defaultMemberUniqueName="[Dim_Customer].[CustomerID].[All]" allUniqueName="[Dim_Customer].[CustomerID].[All]" dimensionUniqueName="[Dim_Customer]" displayFolder="" count="2"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Month]" caption="Month" attribute="1" time="1" defaultMemberUniqueName="[Dim_Date].[Month].[All]" allUniqueName="[Dim_Date].[Month].[All]" dimensionUniqueName="[Dim_Date]" displayFolder="" count="2" memberValueDatatype="7" unbalanced="0"/>
    <cacheHierarchy uniqueName="[Dim_Date].[Target Sales]" caption="Target Sales" attribute="1" defaultMemberUniqueName="[Dim_Date].[Target Sales].[All]" allUniqueName="[Dim_Date].[Target Sales].[All]" dimensionUniqueName="[Dim_Date]" displayFolder="" count="2" memberValueDatatype="20" unbalanced="0"/>
    <cacheHierarchy uniqueName="[Dim_Date].[Target achivement]" caption="Target achivement" attribute="1" defaultMemberUniqueName="[Dim_Date].[Target achivement].[All]" allUniqueName="[Dim_Date].[Target achivement].[All]" dimensionUniqueName="[Dim_Date]" displayFolder="" count="2" memberValueDatatype="5" unbalanced="0"/>
    <cacheHierarchy uniqueName="[Dim_Date].[Month (Month)]" caption="Month (Month)" attribute="1" defaultMemberUniqueName="[Dim_Date].[Month (Month)].[All]" allUniqueName="[Dim_Date].[Month (Month)].[All]" dimensionUniqueName="[Dim_Date]" displayFolder="" count="2" memberValueDatatype="130" unbalanced="0"/>
    <cacheHierarchy uniqueName="[Dim_Inventory].[ProductID]" caption="ProductID" attribute="1" defaultMemberUniqueName="[Dim_Inventory].[ProductID].[All]" allUniqueName="[Dim_Inventory].[ProductID].[All]" dimensionUniqueName="[Dim_Inventory]" displayFolder="" count="2" memberValueDatatype="130" unbalanced="0"/>
    <cacheHierarchy uniqueName="[Dim_Inventory].[Current Stock]" caption="Current Stock" attribute="1" defaultMemberUniqueName="[Dim_Inventory].[Current Stock].[All]" allUniqueName="[Dim_Inventory].[Current Stock].[All]" dimensionUniqueName="[Dim_Inventory]" displayFolder="" count="2" memberValueDatatype="20" unbalanced="0"/>
    <cacheHierarchy uniqueName="[Dim_Inventory].[Reorder Level]" caption="Reorder Level" attribute="1" defaultMemberUniqueName="[Dim_Inventory].[Reorder Level].[All]" allUniqueName="[Dim_Inventory].[Reorder Level].[All]" dimensionUniqueName="[Dim_Inventory]" displayFolder="" count="2" memberValueDatatype="20" unbalanced="0"/>
    <cacheHierarchy uniqueName="[Dim_Inventory].[Reorder alert]" caption="Reorder alert" attribute="1" defaultMemberUniqueName="[Dim_Inventory].[Reorder alert].[All]" allUniqueName="[Dim_Inventory].[Reorder alert].[All]" dimensionUniqueName="[Dim_Inventory]" displayFolder="" count="2" memberValueDatatype="130" unbalanced="0"/>
    <cacheHierarchy uniqueName="[Dim_Inventory].[Dead stock alert]" caption="Dead stock alert" attribute="1" defaultMemberUniqueName="[Dim_Inventory].[Dead stock alert].[All]" allUniqueName="[Dim_Inventory].[Dead stock alert].[All]" dimensionUniqueName="[Dim_Inventory]" displayFolder="" count="2" memberValueDatatype="130" unbalanced="0"/>
    <cacheHierarchy uniqueName="[Dim_Product].[ProductID]" caption="ProductID" attribute="1" defaultMemberUniqueName="[Dim_Product].[ProductID].[All]" allUniqueName="[Dim_Product].[ProductID].[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Cost Price]" caption="Cost Price" attribute="1" defaultMemberUniqueName="[Dim_Product].[Cost Price].[All]" allUniqueName="[Dim_Product].[Cost Price].[All]" dimensionUniqueName="[Dim_Product]"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Table1].[OrderID]" caption="OrderID" attribute="1" defaultMemberUniqueName="[Table1].[OrderID].[All]" allUniqueName="[Table1].[Order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ID]" caption="CustomerID" attribute="1" defaultMemberUniqueName="[Table1].[CustomerID].[All]" allUniqueName="[Table1].[CustomerID].[All]" dimensionUniqueName="[Table1]" displayFolder="" count="2" memberValueDatatype="130" unbalanced="0"/>
    <cacheHierarchy uniqueName="[Table1].[ProductID]" caption="ProductID" attribute="1" defaultMemberUniqueName="[Table1].[ProductID].[All]" allUniqueName="[Table1].[ProductID].[All]" dimensionUniqueName="[Table1]" displayFolder="" count="2" memberValueDatatype="130" unbalanced="0"/>
    <cacheHierarchy uniqueName="[Table1].[Qty]" caption="Qty" attribute="1" defaultMemberUniqueName="[Table1].[Qty].[All]" allUniqueName="[Table1].[Qty].[All]" dimensionUniqueName="[Table1]" displayFolder="" count="2" memberValueDatatype="20" unbalanced="0"/>
    <cacheHierarchy uniqueName="[Table1].[Sales]" caption="Sales" attribute="1" defaultMemberUniqueName="[Table1].[Sales].[All]" allUniqueName="[Table1].[Sales].[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20"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avg order value]" caption="avg order value" attribute="1" defaultMemberUniqueName="[Table1].[avg order value].[All]" allUniqueName="[Table1].[avg order value].[All]" dimensionUniqueName="[Table1]" displayFolder="" count="2" memberValueDatatype="20" unbalanced="0"/>
    <cacheHierarchy uniqueName="[Table1].[Date (Month)]" caption="Date (Month)" attribute="1" defaultMemberUniqueName="[Table1].[Date (Month)].[All]" allUniqueName="[Table1].[Date (Month)].[All]" dimensionUniqueName="[Table1]" displayFolder="" count="2" memberValueDatatype="130" unbalanced="0"/>
    <cacheHierarchy uniqueName="[Table7].[State]" caption="State" attribute="1" defaultMemberUniqueName="[Table7].[State].[All]" allUniqueName="[Table7].[State].[All]" dimensionUniqueName="[Table7]" displayFolder="" count="2" memberValueDatatype="130" unbalanced="0"/>
    <cacheHierarchy uniqueName="[Table7].[Region]" caption="Region" attribute="1" defaultMemberUniqueName="[Table7].[Region].[All]" allUniqueName="[Table7].[Region].[All]" dimensionUniqueName="[Table7]" displayFolder="" count="2" memberValueDatatype="130" unbalanced="0"/>
    <cacheHierarchy uniqueName="[Dim_Date].[Month (Month Index)]" caption="Month (Month Index)" attribute="1" defaultMemberUniqueName="[Dim_Date].[Month (Month Index)].[All]" allUniqueName="[Dim_Date].[Month (Month Index)].[All]" dimensionUniqueName="[Dim_Date]" displayFolder="" count="2" memberValueDatatype="20" unbalanced="0" hidden="1"/>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Profit Margin %]" caption="Profit Margin %" measure="1" displayFolder="" measureGroup="Table1" count="0"/>
    <cacheHierarchy uniqueName="[Measures].[Average Order Value]" caption="Average Order Value" measure="1" displayFolder="" measureGroup="Table1" count="0"/>
    <cacheHierarchy uniqueName="[Measures].[No.of Orders]" caption="No.of Orders" measure="1" displayFolder="" measureGroup="Table1" count="0"/>
    <cacheHierarchy uniqueName="[Measures].[No.of cust]" caption="No.of cust" measure="1" displayFolder="" measureGroup="Table1" count="0"/>
    <cacheHierarchy uniqueName="[Measures].[Inventory turnover]" caption="Inventory turnover" measure="1" displayFolder="" measureGroup="Table1" count="0"/>
    <cacheHierarchy uniqueName="[Measures].[target Achievement %]" caption="target Achievement %" measure="1" displayFolder="" measureGroup="Table1" count="0"/>
    <cacheHierarchy uniqueName="[Measures].[repeat customer]" caption="repeat customer" measure="1" displayFolder="" measureGroup="Table1" count="0"/>
    <cacheHierarchy uniqueName="[Measures].[New Customers]" caption="New Customers" measure="1" displayFolder="" measureGroup="Table1" count="0"/>
    <cacheHierarchy uniqueName="[Measures].[Retention Rate]" caption="Retention Rate" measure="1" displayFolder="" measureGroup="Table1" count="0"/>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5"/>
        </ext>
      </extLst>
    </cacheHierarchy>
    <cacheHierarchy uniqueName="[Measures].[Sum of Current Stock]" caption="Sum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hidden="1">
      <extLst>
        <ext xmlns:x15="http://schemas.microsoft.com/office/spreadsheetml/2010/11/main" uri="{B97F6D7D-B522-45F9-BDA1-12C45D357490}">
          <x15:cacheHierarchy aggregatedColumn="6"/>
        </ext>
      </extLst>
    </cacheHierarchy>
  </cacheHierarchies>
  <kpis count="0"/>
  <dimensions count="7">
    <dimension name="Dim_Customer" uniqueName="[Dim_Customer]" caption="Dim_Customer"/>
    <dimension name="Dim_Date" uniqueName="[Dim_Date]" caption="Dim_Date"/>
    <dimension name="Dim_Inventory" uniqueName="[Dim_Inventory]" caption="Dim_Inventory"/>
    <dimension name="Dim_Product" uniqueName="[Dim_Product]" caption="Dim_Product"/>
    <dimension measure="1" name="Measures" uniqueName="[Measures]" caption="Measures"/>
    <dimension name="Table1" uniqueName="[Table1]" caption="Table1"/>
    <dimension name="Table7" uniqueName="[Table7]" caption="Table7"/>
  </dimensions>
  <measureGroups count="6">
    <measureGroup name="Dim_Customer" caption="Dim_Customer"/>
    <measureGroup name="Dim_Date" caption="Dim_Date"/>
    <measureGroup name="Dim_Inventory" caption="Dim_Inventory"/>
    <measureGroup name="Dim_Product" caption="Dim_Product"/>
    <measureGroup name="Table1" caption="Table1"/>
    <measureGroup name="Table7" caption="Table7"/>
  </measureGroups>
  <maps count="12">
    <map measureGroup="0" dimension="0"/>
    <map measureGroup="0" dimension="6"/>
    <map measureGroup="1" dimension="1"/>
    <map measureGroup="2" dimension="2"/>
    <map measureGroup="3" dimension="2"/>
    <map measureGroup="3" dimension="3"/>
    <map measureGroup="4" dimension="0"/>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licerData="1" pivotCacheId="183025470"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195.009905324077" backgroundQuery="1" createdVersion="3" refreshedVersion="8" minRefreshableVersion="3" recordCount="0" supportSubquery="1" supportAdvancedDrill="1" xr:uid="{A302C3CB-5A2E-4C01-8D51-73D79FD4468E}">
  <cacheSource type="external" connectionId="1">
    <extLst>
      <ext xmlns:x14="http://schemas.microsoft.com/office/spreadsheetml/2009/9/main" uri="{F057638F-6D5F-4e77-A914-E7F072B9BCA8}">
        <x14:sourceConnection name="ThisWorkbookDataModel"/>
      </ext>
    </extLst>
  </cacheSource>
  <cacheFields count="0"/>
  <cacheHierarchies count="61">
    <cacheHierarchy uniqueName="[Dim_Customer].[CustomerID]" caption="CustomerID" attribute="1" defaultMemberUniqueName="[Dim_Customer].[CustomerID].[All]" allUniqueName="[Dim_Customer].[CustomerID].[All]" dimensionUniqueName="[Dim_Customer]" displayFolder="" count="2"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Month]" caption="Month" attribute="1" time="1" defaultMemberUniqueName="[Dim_Date].[Month].[All]" allUniqueName="[Dim_Date].[Month].[All]" dimensionUniqueName="[Dim_Date]" displayFolder="" count="2" memberValueDatatype="7" unbalanced="0"/>
    <cacheHierarchy uniqueName="[Dim_Date].[Target Sales]" caption="Target Sales" attribute="1" defaultMemberUniqueName="[Dim_Date].[Target Sales].[All]" allUniqueName="[Dim_Date].[Target Sales].[All]" dimensionUniqueName="[Dim_Date]" displayFolder="" count="2" memberValueDatatype="20" unbalanced="0"/>
    <cacheHierarchy uniqueName="[Dim_Date].[Target achivement]" caption="Target achivement" attribute="1" defaultMemberUniqueName="[Dim_Date].[Target achivement].[All]" allUniqueName="[Dim_Date].[Target achivement].[All]" dimensionUniqueName="[Dim_Date]" displayFolder="" count="2" memberValueDatatype="5" unbalanced="0"/>
    <cacheHierarchy uniqueName="[Dim_Date].[Month (Month)]" caption="Month (Month)" attribute="1" defaultMemberUniqueName="[Dim_Date].[Month (Month)].[All]" allUniqueName="[Dim_Date].[Month (Month)].[All]" dimensionUniqueName="[Dim_Date]" displayFolder="" count="2" memberValueDatatype="130" unbalanced="0"/>
    <cacheHierarchy uniqueName="[Dim_Inventory].[ProductID]" caption="ProductID" attribute="1" defaultMemberUniqueName="[Dim_Inventory].[ProductID].[All]" allUniqueName="[Dim_Inventory].[ProductID].[All]" dimensionUniqueName="[Dim_Inventory]" displayFolder="" count="2" memberValueDatatype="130" unbalanced="0"/>
    <cacheHierarchy uniqueName="[Dim_Inventory].[Current Stock]" caption="Current Stock" attribute="1" defaultMemberUniqueName="[Dim_Inventory].[Current Stock].[All]" allUniqueName="[Dim_Inventory].[Current Stock].[All]" dimensionUniqueName="[Dim_Inventory]" displayFolder="" count="2" memberValueDatatype="20" unbalanced="0"/>
    <cacheHierarchy uniqueName="[Dim_Inventory].[Reorder Level]" caption="Reorder Level" attribute="1" defaultMemberUniqueName="[Dim_Inventory].[Reorder Level].[All]" allUniqueName="[Dim_Inventory].[Reorder Level].[All]" dimensionUniqueName="[Dim_Inventory]" displayFolder="" count="2" memberValueDatatype="20" unbalanced="0"/>
    <cacheHierarchy uniqueName="[Dim_Inventory].[Reorder alert]" caption="Reorder alert" attribute="1" defaultMemberUniqueName="[Dim_Inventory].[Reorder alert].[All]" allUniqueName="[Dim_Inventory].[Reorder alert].[All]" dimensionUniqueName="[Dim_Inventory]" displayFolder="" count="2" memberValueDatatype="130" unbalanced="0"/>
    <cacheHierarchy uniqueName="[Dim_Inventory].[Dead stock alert]" caption="Dead stock alert" attribute="1" defaultMemberUniqueName="[Dim_Inventory].[Dead stock alert].[All]" allUniqueName="[Dim_Inventory].[Dead stock alert].[All]" dimensionUniqueName="[Dim_Inventory]" displayFolder="" count="2" memberValueDatatype="130" unbalanced="0"/>
    <cacheHierarchy uniqueName="[Dim_Product].[ProductID]" caption="ProductID" attribute="1" defaultMemberUniqueName="[Dim_Product].[ProductID].[All]" allUniqueName="[Dim_Product].[ProductID].[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Cost Price]" caption="Cost Price" attribute="1" defaultMemberUniqueName="[Dim_Product].[Cost Price].[All]" allUniqueName="[Dim_Product].[Cost Price].[All]" dimensionUniqueName="[Dim_Product]"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Table1].[OrderID]" caption="OrderID" attribute="1" defaultMemberUniqueName="[Table1].[OrderID].[All]" allUniqueName="[Table1].[Order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ID]" caption="CustomerID" attribute="1" defaultMemberUniqueName="[Table1].[CustomerID].[All]" allUniqueName="[Table1].[CustomerID].[All]" dimensionUniqueName="[Table1]" displayFolder="" count="2" memberValueDatatype="130" unbalanced="0"/>
    <cacheHierarchy uniqueName="[Table1].[ProductID]" caption="ProductID" attribute="1" defaultMemberUniqueName="[Table1].[ProductID].[All]" allUniqueName="[Table1].[ProductID].[All]" dimensionUniqueName="[Table1]" displayFolder="" count="2" memberValueDatatype="130" unbalanced="0"/>
    <cacheHierarchy uniqueName="[Table1].[Qty]" caption="Qty" attribute="1" defaultMemberUniqueName="[Table1].[Qty].[All]" allUniqueName="[Table1].[Qty].[All]" dimensionUniqueName="[Table1]" displayFolder="" count="2" memberValueDatatype="20" unbalanced="0"/>
    <cacheHierarchy uniqueName="[Table1].[Sales]" caption="Sales" attribute="1" defaultMemberUniqueName="[Table1].[Sales].[All]" allUniqueName="[Table1].[Sales].[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20"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avg order value]" caption="avg order value" attribute="1" defaultMemberUniqueName="[Table1].[avg order value].[All]" allUniqueName="[Table1].[avg order value].[All]" dimensionUniqueName="[Table1]" displayFolder="" count="2" memberValueDatatype="20" unbalanced="0"/>
    <cacheHierarchy uniqueName="[Table1].[Date (Month)]" caption="Date (Month)" attribute="1" defaultMemberUniqueName="[Table1].[Date (Month)].[All]" allUniqueName="[Table1].[Date (Month)].[All]" dimensionUniqueName="[Table1]" displayFolder="" count="2" memberValueDatatype="130" unbalanced="0"/>
    <cacheHierarchy uniqueName="[Table7].[State]" caption="State" attribute="1" defaultMemberUniqueName="[Table7].[State].[All]" allUniqueName="[Table7].[State].[All]" dimensionUniqueName="[Table7]" displayFolder="" count="2" memberValueDatatype="130" unbalanced="0"/>
    <cacheHierarchy uniqueName="[Table7].[Region]" caption="Region" attribute="1" defaultMemberUniqueName="[Table7].[Region].[All]" allUniqueName="[Table7].[Region].[All]" dimensionUniqueName="[Table7]" displayFolder="" count="2" memberValueDatatype="130" unbalanced="0"/>
    <cacheHierarchy uniqueName="[Dim_Date].[Month (Month Index)]" caption="Month (Month Index)" attribute="1" defaultMemberUniqueName="[Dim_Date].[Month (Month Index)].[All]" allUniqueName="[Dim_Date].[Month (Month Index)].[All]" dimensionUniqueName="[Dim_Date]" displayFolder="" count="2" memberValueDatatype="20" unbalanced="0" hidden="1"/>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Total Sales]" caption="Total Sales" measure="1" displayFolder="" measureGroup="Table1" count="0"/>
    <cacheHierarchy uniqueName="[Measures].[Total Profit]" caption="Total Profit" measure="1" displayFolder="" measureGroup="Table1" count="0"/>
    <cacheHierarchy uniqueName="[Measures].[Profit Margin %]" caption="Profit Margin %" measure="1" displayFolder="" measureGroup="Table1" count="0"/>
    <cacheHierarchy uniqueName="[Measures].[Average Order Value]" caption="Average Order Value" measure="1" displayFolder="" measureGroup="Table1" count="0"/>
    <cacheHierarchy uniqueName="[Measures].[No.of Orders]" caption="No.of Orders" measure="1" displayFolder="" measureGroup="Table1" count="0"/>
    <cacheHierarchy uniqueName="[Measures].[No.of cust]" caption="No.of cust" measure="1" displayFolder="" measureGroup="Table1" count="0"/>
    <cacheHierarchy uniqueName="[Measures].[Inventory turnover]" caption="Inventory turnover" measure="1" displayFolder="" measureGroup="Table1" count="0"/>
    <cacheHierarchy uniqueName="[Measures].[target Achievement %]" caption="target Achievement %" measure="1" displayFolder="" measureGroup="Table1" count="0"/>
    <cacheHierarchy uniqueName="[Measures].[repeat customer]" caption="repeat customer" measure="1" displayFolder="" measureGroup="Table1" count="0"/>
    <cacheHierarchy uniqueName="[Measures].[New Customers]" caption="New Customers" measure="1" displayFolder="" measureGroup="Table1" count="0"/>
    <cacheHierarchy uniqueName="[Measures].[Retention Rate]" caption="Retention Rate" measure="1" displayFolder="" measureGroup="Table1" count="0"/>
    <cacheHierarchy uniqueName="[Measures].[total target sales]" caption="total target sales" measure="1" displayFolder="" measureGroup="Table1" count="0"/>
    <cacheHierarchy uniqueName="[Measures].[variance]" caption="variance" measure="1" displayFolder="" measureGroup="Table1" count="0"/>
    <cacheHierarchy uniqueName="[Measures].[__XL_Count Dim_Date]" caption="__XL_Count Dim_Date" measure="1" displayFolder="" measureGroup="Dim_Date" count="0" hidden="1"/>
    <cacheHierarchy uniqueName="[Measures].[__XL_Count Table1]" caption="__XL_Count Table1" measure="1" displayFolder="" measureGroup="Table1" count="0" hidden="1"/>
    <cacheHierarchy uniqueName="[Measures].[__XL_Count Dim_Inventory]" caption="__XL_Count Dim_Inventory" measure="1" displayFolder="" measureGroup="Dim_Inventory"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4"/>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5"/>
        </ext>
      </extLst>
    </cacheHierarchy>
    <cacheHierarchy uniqueName="[Measures].[Sum of Current Stock]" caption="Sum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Current Stock]" caption="Count of Current Stock" measure="1" displayFolder="" measureGroup="Dim_Inventory" count="0" hidden="1">
      <extLst>
        <ext xmlns:x15="http://schemas.microsoft.com/office/spreadsheetml/2010/11/main" uri="{B97F6D7D-B522-45F9-BDA1-12C45D357490}">
          <x15:cacheHierarchy aggregatedColumn="10"/>
        </ext>
      </extLst>
    </cacheHierarchy>
    <cacheHierarchy uniqueName="[Measures].[Count of ProductID]" caption="Count of ProductID" measure="1" displayFolder="" measureGroup="Dim_Product" count="0" hidden="1">
      <extLst>
        <ext xmlns:x15="http://schemas.microsoft.com/office/spreadsheetml/2010/11/main" uri="{B97F6D7D-B522-45F9-BDA1-12C45D357490}">
          <x15:cacheHierarchy aggregatedColumn="14"/>
        </ext>
      </extLst>
    </cacheHierarchy>
    <cacheHierarchy uniqueName="[Measures].[Sum of Target Sales]" caption="Sum of Target Sales" measure="1" displayFolder="" measureGroup="Dim_Date" count="0" hidden="1">
      <extLst>
        <ext xmlns:x15="http://schemas.microsoft.com/office/spreadsheetml/2010/11/main" uri="{B97F6D7D-B522-45F9-BDA1-12C45D357490}">
          <x15:cacheHierarchy aggregatedColumn="6"/>
        </ext>
      </extLst>
    </cacheHierarchy>
  </cacheHierarchies>
  <kpis count="0"/>
  <dimensions count="7">
    <dimension name="Dim_Customer" uniqueName="[Dim_Customer]" caption="Dim_Customer"/>
    <dimension name="Dim_Date" uniqueName="[Dim_Date]" caption="Dim_Date"/>
    <dimension name="Dim_Inventory" uniqueName="[Dim_Inventory]" caption="Dim_Inventory"/>
    <dimension name="Dim_Product" uniqueName="[Dim_Product]" caption="Dim_Product"/>
    <dimension measure="1" name="Measures" uniqueName="[Measures]" caption="Measures"/>
    <dimension name="Table1" uniqueName="[Table1]" caption="Table1"/>
    <dimension name="Table7" uniqueName="[Table7]" caption="Table7"/>
  </dimensions>
  <measureGroups count="6">
    <measureGroup name="Dim_Customer" caption="Dim_Customer"/>
    <measureGroup name="Dim_Date" caption="Dim_Date"/>
    <measureGroup name="Dim_Inventory" caption="Dim_Inventory"/>
    <measureGroup name="Dim_Product" caption="Dim_Product"/>
    <measureGroup name="Table1" caption="Table1"/>
    <measureGroup name="Table7" caption="Table7"/>
  </measureGroups>
  <maps count="12">
    <map measureGroup="0" dimension="0"/>
    <map measureGroup="0" dimension="6"/>
    <map measureGroup="1" dimension="1"/>
    <map measureGroup="2" dimension="2"/>
    <map measureGroup="3" dimension="2"/>
    <map measureGroup="3" dimension="3"/>
    <map measureGroup="4" dimension="0"/>
    <map measureGroup="4" dimension="2"/>
    <map measureGroup="4" dimension="3"/>
    <map measureGroup="4" dimension="5"/>
    <map measureGroup="4" dimension="6"/>
    <map measureGroup="5" dimension="6"/>
  </maps>
  <extLst>
    <ext xmlns:x14="http://schemas.microsoft.com/office/spreadsheetml/2009/9/main" uri="{725AE2AE-9491-48be-B2B4-4EB974FC3084}">
      <x14:pivotCacheDefinition slicerData="1" pivotCacheId="17542333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53CCE0-CB99-4FC7-84CD-B94538B6BD91}" name="PivotTable5" cacheId="360" applyNumberFormats="0" applyBorderFormats="0" applyFontFormats="0" applyPatternFormats="0" applyAlignmentFormats="0" applyWidthHeightFormats="1" dataCaption="Values" tag="85807ed2-468f-4c4f-b018-3baee4a4457d" updatedVersion="8" minRefreshableVersion="3" useAutoFormatting="1" itemPrintTitles="1" createdVersion="8" indent="0" outline="1" outlineData="1" multipleFieldFilters="0" chartFormat="13">
  <location ref="AV5:AW29" firstHeaderRow="1" firstDataRow="1" firstDataCol="1"/>
  <pivotFields count="4">
    <pivotField axis="axisRow" allDrilled="1" subtotalTop="0" showAll="0"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4">
    <i>
      <x/>
    </i>
    <i>
      <x v="15"/>
    </i>
    <i>
      <x v="7"/>
    </i>
    <i>
      <x v="11"/>
    </i>
    <i>
      <x v="9"/>
    </i>
    <i>
      <x v="6"/>
    </i>
    <i>
      <x v="13"/>
    </i>
    <i>
      <x v="19"/>
    </i>
    <i>
      <x v="3"/>
    </i>
    <i>
      <x v="21"/>
    </i>
    <i>
      <x v="1"/>
    </i>
    <i>
      <x v="17"/>
    </i>
    <i>
      <x v="12"/>
    </i>
    <i>
      <x v="10"/>
    </i>
    <i>
      <x v="2"/>
    </i>
    <i>
      <x v="14"/>
    </i>
    <i>
      <x v="4"/>
    </i>
    <i>
      <x v="18"/>
    </i>
    <i>
      <x v="5"/>
    </i>
    <i>
      <x v="8"/>
    </i>
    <i>
      <x v="16"/>
    </i>
    <i>
      <x v="22"/>
    </i>
    <i>
      <x v="20"/>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multipleItemSelectionAllowed="1" dragToData="1"/>
    <pivotHierarchy multipleItemSelectionAllowed="1" dragToData="1">
      <members count="1" level="1">
        <member name="[Dim_Date].[Month].&amp;[2025-05-01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FFC63A-F4F4-4A58-ABEC-691D313CB382}" name="PivotTable12" cacheId="367" applyNumberFormats="0" applyBorderFormats="0" applyFontFormats="0" applyPatternFormats="0" applyAlignmentFormats="0" applyWidthHeightFormats="1" dataCaption="Values" tag="dee5a16e-4c5c-4e93-aaca-12b461746a00" updatedVersion="8" minRefreshableVersion="3" useAutoFormatting="1" itemPrintTitles="1" createdVersion="8" indent="0" outline="1" outlineData="1" multipleFieldFilters="0">
  <location ref="CX7:CY20"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dataFields>
  <pivotHierarchies count="60">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92ACF8-C4B3-4003-9CE7-DFC23966FED8}" name="PivotTable6" cacheId="361" applyNumberFormats="0" applyBorderFormats="0" applyFontFormats="0" applyPatternFormats="0" applyAlignmentFormats="0" applyWidthHeightFormats="1" dataCaption="Values" tag="276531b8-7578-4f0a-8330-be0ce5e47e70" updatedVersion="8" minRefreshableVersion="3" useAutoFormatting="1" itemPrintTitles="1" createdVersion="8" indent="0" outline="1" outlineData="1" multipleFieldFilters="0" chartFormat="8">
  <location ref="BF6:BG1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0" count="1" selected="0">
            <x v="0"/>
          </reference>
        </references>
      </pivotArea>
    </chartFormat>
    <chartFormat chart="4" format="18">
      <pivotArea type="data" outline="0" fieldPosition="0">
        <references count="2">
          <reference field="4294967294" count="1" selected="0">
            <x v="0"/>
          </reference>
          <reference field="0" count="1" selected="0">
            <x v="1"/>
          </reference>
        </references>
      </pivotArea>
    </chartFormat>
    <chartFormat chart="4" format="19">
      <pivotArea type="data" outline="0" fieldPosition="0">
        <references count="2">
          <reference field="4294967294" count="1" selected="0">
            <x v="0"/>
          </reference>
          <reference field="0" count="1" selected="0">
            <x v="2"/>
          </reference>
        </references>
      </pivotArea>
    </chartFormat>
  </chartFormats>
  <pivotHierarchies count="60">
    <pivotHierarchy dragToData="1"/>
    <pivotHierarchy dragToData="1"/>
    <pivotHierarchy dragToData="1"/>
    <pivotHierarchy dragToData="1"/>
    <pivotHierarchy multipleItemSelectionAllowed="1" dragToData="1"/>
    <pivotHierarchy multipleItemSelectionAllowed="1" dragToData="1">
      <members count="1" level="1">
        <member name="[Dim_Date].[Month].&amp;[2025-05-01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1777B1-0967-455C-B629-FE6DC953CF3C}" name="PivotTable2" cacheId="357" applyNumberFormats="0" applyBorderFormats="0" applyFontFormats="0" applyPatternFormats="0" applyAlignmentFormats="0" applyWidthHeightFormats="1" dataCaption="Values" tag="d9a7db7f-69ca-4dbb-94f7-8ba5e5ab1d08" updatedVersion="8" minRefreshableVersion="3" useAutoFormatting="1" itemPrintTitles="1" createdVersion="8" indent="0" outline="1" outlineData="1" multipleFieldFilters="0" chartFormat="7">
  <location ref="O6:P1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chartFormats count="2">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1F1CEF-2CB0-4067-9496-21242EE169AA}" name="PivotTable3" cacheId="358" applyNumberFormats="0" applyBorderFormats="0" applyFontFormats="0" applyPatternFormats="0" applyAlignmentFormats="0" applyWidthHeightFormats="1" dataCaption="Values" tag="17fdc83f-5454-4c68-a303-a757a86cc38c" updatedVersion="8" minRefreshableVersion="3" useAutoFormatting="1" itemPrintTitles="1" createdVersion="8" indent="0" outline="1" outlineData="1" multipleFieldFilters="0" chartFormat="13">
  <location ref="Z5:AA1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6D7457-3213-4096-8987-84782EC821D2}" name="PivotTable15" cacheId="368" applyNumberFormats="0" applyBorderFormats="0" applyFontFormats="0" applyPatternFormats="0" applyAlignmentFormats="0" applyWidthHeightFormats="1" dataCaption="Values" tag="ade94c4a-9e85-4859-9730-2ebbbb3dde95" updatedVersion="8" minRefreshableVersion="3" useAutoFormatting="1" itemPrintTitles="1" createdVersion="8" indent="0" outline="1" outlineData="1" multipleFieldFilters="0" chartFormat="11">
  <location ref="DB7:DI40" firstHeaderRow="1" firstDataRow="3" firstDataCol="1"/>
  <pivotFields count="5">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Col"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xis="axisCol" allDrilled="1" subtotalTop="0" showAll="0" dataSourceSort="1" defaultSubtotal="0">
      <items count="6">
        <item x="0" e="0"/>
        <item x="1" e="0"/>
        <item x="2" e="0"/>
        <item x="3" e="0"/>
        <item x="4" e="0"/>
        <item x="5" e="0"/>
      </items>
    </pivotField>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2">
    <field x="3"/>
    <field x="1"/>
  </colFields>
  <colItems count="7">
    <i>
      <x/>
    </i>
    <i>
      <x v="1"/>
    </i>
    <i>
      <x v="2"/>
    </i>
    <i>
      <x v="3"/>
    </i>
    <i>
      <x v="4"/>
    </i>
    <i>
      <x v="5"/>
    </i>
    <i t="grand">
      <x/>
    </i>
  </colItems>
  <dataFields count="1">
    <dataField name="Sum of Sales" fld="2" baseField="0" baseItem="0"/>
  </dataFields>
  <chartFormats count="12">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4" format="4" series="1">
      <pivotArea type="data" outline="0" fieldPosition="0">
        <references count="2">
          <reference field="4294967294" count="1" selected="0">
            <x v="0"/>
          </reference>
          <reference field="3" count="1" selected="0">
            <x v="4"/>
          </reference>
        </references>
      </pivotArea>
    </chartFormat>
    <chartFormat chart="4" format="5" series="1">
      <pivotArea type="data" outline="0" fieldPosition="0">
        <references count="2">
          <reference field="4294967294" count="1" selected="0">
            <x v="0"/>
          </reference>
          <reference field="3" count="1" selected="0">
            <x v="5"/>
          </reference>
        </references>
      </pivotArea>
    </chartFormat>
    <chartFormat chart="10" format="24" series="1">
      <pivotArea type="data" outline="0" fieldPosition="0">
        <references count="2">
          <reference field="4294967294" count="1" selected="0">
            <x v="0"/>
          </reference>
          <reference field="3" count="1" selected="0">
            <x v="0"/>
          </reference>
        </references>
      </pivotArea>
    </chartFormat>
    <chartFormat chart="10" format="25" series="1">
      <pivotArea type="data" outline="0" fieldPosition="0">
        <references count="2">
          <reference field="4294967294" count="1" selected="0">
            <x v="0"/>
          </reference>
          <reference field="3" count="1" selected="0">
            <x v="1"/>
          </reference>
        </references>
      </pivotArea>
    </chartFormat>
    <chartFormat chart="10" format="26" series="1">
      <pivotArea type="data" outline="0" fieldPosition="0">
        <references count="2">
          <reference field="4294967294" count="1" selected="0">
            <x v="0"/>
          </reference>
          <reference field="3" count="1" selected="0">
            <x v="2"/>
          </reference>
        </references>
      </pivotArea>
    </chartFormat>
    <chartFormat chart="10" format="27" series="1">
      <pivotArea type="data" outline="0" fieldPosition="0">
        <references count="2">
          <reference field="4294967294" count="1" selected="0">
            <x v="0"/>
          </reference>
          <reference field="3" count="1" selected="0">
            <x v="3"/>
          </reference>
        </references>
      </pivotArea>
    </chartFormat>
    <chartFormat chart="10" format="28" series="1">
      <pivotArea type="data" outline="0" fieldPosition="0">
        <references count="2">
          <reference field="4294967294" count="1" selected="0">
            <x v="0"/>
          </reference>
          <reference field="3" count="1" selected="0">
            <x v="4"/>
          </reference>
        </references>
      </pivotArea>
    </chartFormat>
    <chartFormat chart="10" format="29" series="1">
      <pivotArea type="data" outline="0" fieldPosition="0">
        <references count="2">
          <reference field="4294967294" count="1" selected="0">
            <x v="0"/>
          </reference>
          <reference field="3" count="1" selected="0">
            <x v="5"/>
          </reference>
        </references>
      </pivotArea>
    </chartFormat>
  </chartFormats>
  <pivotHierarchies count="60">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2">
    <colHierarchyUsage hierarchyUsage="27"/>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F25BC3-CD52-4AC7-9DA2-52780DA718E6}" name="PivotTable10" cacheId="363" applyNumberFormats="0" applyBorderFormats="0" applyFontFormats="0" applyPatternFormats="0" applyAlignmentFormats="0" applyWidthHeightFormats="1" dataCaption="Values" tag="37f866af-82ee-4c15-b0dd-8dc436ab4fae" updatedVersion="8" minRefreshableVersion="3" useAutoFormatting="1" itemPrintTitles="1" createdVersion="8" indent="0" outline="1" outlineData="1" multipleFieldFilters="0" chartFormat="11">
  <location ref="CN5:CO7"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ProductID" fld="1" subtotal="count" baseField="0" baseItem="0"/>
  </dataFields>
  <chartFormats count="4">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Inventory]"/>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529C40-B77D-44E2-8B53-F71895D61CB2}" name="PivotTable7" cacheId="362" applyNumberFormats="0" applyBorderFormats="0" applyFontFormats="0" applyPatternFormats="0" applyAlignmentFormats="0" applyWidthHeightFormats="1" dataCaption="Values" tag="94c55c77-5a68-4a0c-864e-ddcdf40c123f" updatedVersion="8" minRefreshableVersion="3" useAutoFormatting="1" itemPrintTitles="1" createdVersion="8" indent="0" outline="1" outlineData="1" multipleFieldFilters="0" chartFormat="8">
  <location ref="BQ5:BT10"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5">
    <i>
      <x/>
    </i>
    <i>
      <x v="1"/>
    </i>
    <i>
      <x v="2"/>
    </i>
    <i>
      <x v="3"/>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s>
  <pivotHierarchies count="60">
    <pivotHierarchy dragToData="1"/>
    <pivotHierarchy dragToData="1"/>
    <pivotHierarchy dragToData="1"/>
    <pivotHierarchy dragToData="1"/>
    <pivotHierarchy multipleItemSelectionAllowed="1" dragToData="1"/>
    <pivotHierarchy multipleItemSelectionAllowed="1" dragToData="1">
      <members count="1" level="1">
        <member name="[Dim_Date].[Month].&amp;[2025-05-01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8E5231-86FB-450D-9B00-FD2E9E676F02}" name="PivotTable9" cacheId="365" applyNumberFormats="0" applyBorderFormats="0" applyFontFormats="0" applyPatternFormats="0" applyAlignmentFormats="0" applyWidthHeightFormats="1" dataCaption="Values" tag="4ed928dc-7103-4a4b-bbf6-fce2906575ff" updatedVersion="8" minRefreshableVersion="3" useAutoFormatting="1" itemPrintTitles="1" createdVersion="8" indent="0" outline="1" outlineData="1" multipleFieldFilters="0" chartFormat="19">
  <location ref="CG4:CH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Current Stock" fld="1" baseField="0" baseItem="0"/>
  </dataFields>
  <chartFormats count="2">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2F12AF-D78B-499E-89CE-6B41E8633146}" name="PivotTable11" cacheId="366" applyNumberFormats="0" applyBorderFormats="0" applyFontFormats="0" applyPatternFormats="0" applyAlignmentFormats="0" applyWidthHeightFormats="1" dataCaption="Values" tag="df80617d-7b68-447b-9a63-1c2bb43c7e22" updatedVersion="8" minRefreshableVersion="3" useAutoFormatting="1" itemPrintTitles="1" createdVersion="8" indent="0" outline="1" outlineData="1" multipleFieldFilters="0" chartFormat="8">
  <location ref="CS7:CU14"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Sales" fld="1" baseField="0" baseItem="0"/>
    <dataField name="Sum of Target Sales"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Hierarchies count="60">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3D88CF-F767-4E74-9F04-FC936447966E}" name="PivotTable4" cacheId="359" applyNumberFormats="0" applyBorderFormats="0" applyFontFormats="0" applyPatternFormats="0" applyAlignmentFormats="0" applyWidthHeightFormats="1" dataCaption="Values" tag="c61d6f00-481e-44bc-8325-fc82c9285056" updatedVersion="8" minRefreshableVersion="3" useAutoFormatting="1" itemPrintTitles="1" createdVersion="8" indent="0" outline="1" outlineData="1" multipleFieldFilters="0" chartFormat="14">
  <location ref="AF5:AG1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Sales" fld="1" subtotal="count" baseField="0" baseItem="10"/>
  </dataField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Data="1" caption="Count of 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C6E9717-AFCD-45EA-AAFA-CD272ED3815E}" name="PivotTable8" cacheId="364" applyNumberFormats="0" applyBorderFormats="0" applyFontFormats="0" applyPatternFormats="0" applyAlignmentFormats="0" applyWidthHeightFormats="1" dataCaption="Values" tag="3fff14bb-323a-45d5-99d2-41bc4a4d2c8b" updatedVersion="8" minRefreshableVersion="3" useAutoFormatting="1" itemPrintTitles="1" createdVersion="8" indent="0" outline="1" outlineData="1" multipleFieldFilters="0" chartFormat="7">
  <location ref="BW7:BX38" firstHeaderRow="1" firstDataRow="1" firstDataCol="1" rowPageCount="1" colPageCount="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pageFields count="1">
    <pageField fld="1" hier="12" name="[Dim_Inventory].[Reorder alert].&amp;[Reorder]" cap="Reorder"/>
  </pageFields>
  <dataFields count="1">
    <dataField name="Sum of Current Stock" fld="2" baseField="0" baseItem="2"/>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Inventory].[Reorder alert].&amp;[Reorder]"/>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Current Stock"/>
    <pivotHierarchy dragToData="1" caption="Count of Current Stock"/>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AAAC43-47CA-4A01-B77A-2D88B8C92F0D}" name="PivotTable1" cacheId="369" applyNumberFormats="0" applyBorderFormats="0" applyFontFormats="0" applyPatternFormats="0" applyAlignmentFormats="0" applyWidthHeightFormats="1" dataCaption="Values" tag="b47376fc-e53f-4933-bef9-99d2ad57c567" updatedVersion="8" minRefreshableVersion="3" useAutoFormatting="1" subtotalHiddenItems="1" itemPrintTitles="1" createdVersion="8" indent="0" outline="1" outlineData="1" multipleFieldFilters="0">
  <location ref="A1:H2"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60">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Dim_Date]"/>
        <x15:activeTabTopLevelEntity name="[Table7]"/>
        <x15:activeTabTopLevelEntity name="[Dim_Custom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5467CBB-DCC5-4B0A-9CF0-260039441EC8}" sourceName="[Dim_Date].[Month]">
  <pivotTables>
    <pivotTable tabId="7" name="PivotTable1"/>
  </pivotTables>
  <data>
    <olap pivotCacheId="148286113">
      <levels count="2">
        <level uniqueName="[Dim_Date].[Month].[(All)]" sourceCaption="(All)" count="0"/>
        <level uniqueName="[Dim_Date].[Month].[Month]" sourceCaption="Month" count="12">
          <ranges>
            <range startItem="0">
              <i n="[Dim_Date].[Month].&amp;[2025-01-01T00:00:00]" c="01-01-2025"/>
              <i n="[Dim_Date].[Month].&amp;[2025-02-01T00:00:00]" c="01-02-2025"/>
              <i n="[Dim_Date].[Month].&amp;[2025-03-01T00:00:00]" c="01-03-2025"/>
              <i n="[Dim_Date].[Month].&amp;[2025-04-01T00:00:00]" c="01-04-2025"/>
              <i n="[Dim_Date].[Month].&amp;[2025-05-01T00:00:00]" c="01-05-2025"/>
              <i n="[Dim_Date].[Month].&amp;[2025-06-01T00:00:00]" c="01-06-2025"/>
              <i n="[Dim_Date].[Month].&amp;[2025-07-01T00:00:00]" c="01-07-2025"/>
              <i n="[Dim_Date].[Month].&amp;[2025-08-01T00:00:00]" c="01-08-2025"/>
              <i n="[Dim_Date].[Month].&amp;[2025-09-01T00:00:00]" c="01-09-2025"/>
              <i n="[Dim_Date].[Month].&amp;[2025-10-01T00:00:00]" c="01-10-2025"/>
              <i n="[Dim_Date].[Month].&amp;[2025-11-01T00:00:00]" c="01-11-2025"/>
              <i n="[Dim_Date].[Month].&amp;[2025-12-01T00:00:00]" c="01-12-2025"/>
            </range>
          </ranges>
        </level>
      </levels>
      <selections count="1">
        <selection n="[Dim_Date].[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4E60568-52A7-47BD-8066-60C96E71CA20}" sourceName="[Dim_Date].[Month]">
  <pivotTables>
    <pivotTable tabId="7" name="PivotTable2"/>
    <pivotTable tabId="7" name="PivotTable3"/>
    <pivotTable tabId="7" name="PivotTable4"/>
  </pivotTables>
  <data>
    <olap pivotCacheId="183025470">
      <levels count="2">
        <level uniqueName="[Dim_Date].[Month].[(All)]" sourceCaption="(All)" count="0"/>
        <level uniqueName="[Dim_Date].[Month].[Month]" sourceCaption="Month" count="12">
          <ranges>
            <range startItem="0">
              <i n="[Dim_Date].[Month].&amp;[2025-01-01T00:00:00]" c="01-01-2025"/>
              <i n="[Dim_Date].[Month].&amp;[2025-02-01T00:00:00]" c="01-02-2025"/>
              <i n="[Dim_Date].[Month].&amp;[2025-03-01T00:00:00]" c="01-03-2025"/>
              <i n="[Dim_Date].[Month].&amp;[2025-04-01T00:00:00]" c="01-04-2025"/>
              <i n="[Dim_Date].[Month].&amp;[2025-05-01T00:00:00]" c="01-05-2025"/>
              <i n="[Dim_Date].[Month].&amp;[2025-06-01T00:00:00]" c="01-06-2025"/>
              <i n="[Dim_Date].[Month].&amp;[2025-07-01T00:00:00]" c="01-07-2025"/>
              <i n="[Dim_Date].[Month].&amp;[2025-08-01T00:00:00]" c="01-08-2025"/>
              <i n="[Dim_Date].[Month].&amp;[2025-09-01T00:00:00]" c="01-09-2025"/>
              <i n="[Dim_Date].[Month].&amp;[2025-10-01T00:00:00]" c="01-10-2025"/>
              <i n="[Dim_Date].[Month].&amp;[2025-11-01T00:00:00]" c="01-11-2025"/>
              <i n="[Dim_Date].[Month].&amp;[2025-12-01T00:00:00]" c="01-12-2025"/>
            </range>
          </ranges>
        </level>
      </levels>
      <selections count="1">
        <selection n="[Dim_Date].[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AC38A10-DAA3-452D-AD88-EB4357E5582D}" sourceName="[Table7].[Region]">
  <pivotTables>
    <pivotTable tabId="7" name="PivotTable2"/>
    <pivotTable tabId="7" name="PivotTable3"/>
    <pivotTable tabId="7" name="PivotTable4"/>
  </pivotTables>
  <data>
    <olap pivotCacheId="183025470">
      <levels count="2">
        <level uniqueName="[Table7].[Region].[(All)]" sourceCaption="(All)" count="0"/>
        <level uniqueName="[Table7].[Region].[Region]" sourceCaption="Region" count="4">
          <ranges>
            <range startItem="0">
              <i n="[Table7].[Region].&amp;[East]" c="East"/>
              <i n="[Table7].[Region].&amp;[North]" c="North"/>
              <i n="[Table7].[Region].&amp;[South]" c="South"/>
              <i n="[Table7].[Region].&amp;[West]" c="West"/>
            </range>
          </ranges>
        </level>
      </levels>
      <selections count="1">
        <selection n="[Table7].[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61F2B020-14F0-4640-947D-E554CCC56D04}" sourceName="[Dim_Product].[Category]">
  <pivotTables>
    <pivotTable tabId="7" name="PivotTable2"/>
    <pivotTable tabId="7" name="PivotTable3"/>
    <pivotTable tabId="7" name="PivotTable4"/>
  </pivotTables>
  <data>
    <olap pivotCacheId="183025470">
      <levels count="2">
        <level uniqueName="[Dim_Product].[Category].[(All)]" sourceCaption="(All)" count="0"/>
        <level uniqueName="[Dim_Product].[Category].[Category]" sourceCaption="Category" count="3">
          <ranges>
            <range startItem="0">
              <i n="[Dim_Product].[Category].&amp;[Electronics]" c="Electronics"/>
              <i n="[Dim_Product].[Category].&amp;[Furniture]" c="Furniture"/>
              <i n="[Dim_Product].[Category].&amp;[Office Supplies]" c="Office Supplies"/>
            </range>
          </ranges>
        </level>
      </levels>
      <selections count="1">
        <selection n="[Dim_Product].[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DB70A237-1C36-428C-BC96-C46EE7153DFA}" sourceName="[Dim_Customer].[Segment]">
  <pivotTables>
    <pivotTable tabId="7" name="PivotTable5"/>
    <pivotTable tabId="7" name="PivotTable6"/>
    <pivotTable tabId="7" name="PivotTable7"/>
  </pivotTables>
  <data>
    <olap pivotCacheId="183025470">
      <levels count="2">
        <level uniqueName="[Dim_Customer].[Segment].[(All)]" sourceCaption="(All)" count="0"/>
        <level uniqueName="[Dim_Customer].[Segment].[Segment]" sourceCaption="Segment" count="3">
          <ranges>
            <range startItem="0">
              <i n="[Dim_Customer].[Segment].&amp;[Consumer]" c="Consumer"/>
              <i n="[Dim_Customer].[Segment].&amp;[Corporate]" c="Corporate"/>
              <i n="[Dim_Customer].[Segment].&amp;[Home Office]" c="Home Office"/>
            </range>
          </ranges>
        </level>
      </levels>
      <selections count="1">
        <selection n="[Dim_Customer].[Segmen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449A4D4E-34E1-40B6-B439-15C1000B3EC8}" sourceName="[Table7].[Region]">
  <pivotTables>
    <pivotTable tabId="7" name="PivotTable5"/>
    <pivotTable tabId="7" name="PivotTable6"/>
    <pivotTable tabId="7" name="PivotTable7"/>
  </pivotTables>
  <data>
    <olap pivotCacheId="183025470">
      <levels count="2">
        <level uniqueName="[Table7].[Region].[(All)]" sourceCaption="(All)" count="0"/>
        <level uniqueName="[Table7].[Region].[Region]" sourceCaption="Region" count="4">
          <ranges>
            <range startItem="0">
              <i n="[Table7].[Region].&amp;[East]" c="East"/>
              <i n="[Table7].[Region].&amp;[North]" c="North"/>
              <i n="[Table7].[Region].&amp;[South]" c="South"/>
              <i n="[Table7].[Region].&amp;[West]" c="West"/>
            </range>
          </ranges>
        </level>
      </levels>
      <selections count="1">
        <selection n="[Table7].[Regi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F52C1559-BAE1-4231-8649-C4E61F14FCB9}" sourceName="[Dim_Product].[Category]">
  <pivotTables>
    <pivotTable tabId="7" name="PivotTable10"/>
    <pivotTable tabId="7" name="PivotTable8"/>
    <pivotTable tabId="7" name="PivotTable9"/>
  </pivotTables>
  <data>
    <olap pivotCacheId="183025470">
      <levels count="2">
        <level uniqueName="[Dim_Product].[Category].[(All)]" sourceCaption="(All)" count="0"/>
        <level uniqueName="[Dim_Product].[Category].[Category]" sourceCaption="Category" count="3">
          <ranges>
            <range startItem="0">
              <i n="[Dim_Product].[Category].&amp;[Electronics]" c="Electronics"/>
              <i n="[Dim_Product].[Category].&amp;[Furniture]" c="Furniture"/>
              <i n="[Dim_Product].[Category].&amp;[Office Supplies]" c="Office Supplies"/>
            </range>
          </ranges>
        </level>
      </levels>
      <selections count="1">
        <selection n="[Dim_Product].[Category].[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CA72C7BF-D140-4AE3-934F-D6F22A90B21D}" sourceName="[Table7].[Region]">
  <pivotTables>
    <pivotTable tabId="7" name="PivotTable10"/>
    <pivotTable tabId="7" name="PivotTable8"/>
    <pivotTable tabId="7" name="PivotTable9"/>
  </pivotTables>
  <data>
    <olap pivotCacheId="183025470">
      <levels count="2">
        <level uniqueName="[Table7].[Region].[(All)]" sourceCaption="(All)" count="0"/>
        <level uniqueName="[Table7].[Region].[Region]" sourceCaption="Region" count="4">
          <ranges>
            <range startItem="0">
              <i n="[Table7].[Region].&amp;[East]" c="East"/>
              <i n="[Table7].[Region].&amp;[North]" c="North"/>
              <i n="[Table7].[Region].&amp;[South]" c="South"/>
              <i n="[Table7].[Region].&amp;[West]" c="West"/>
            </range>
          </ranges>
        </level>
      </levels>
      <selections count="1">
        <selection n="[Table7].[Region].[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F81B3631-AD3A-440B-A277-D76634C5B7BC}" sourceName="[Dim_Date].[Month]">
  <pivotTables>
    <pivotTable tabId="7" name="PivotTable11"/>
    <pivotTable tabId="7" name="PivotTable12"/>
    <pivotTable tabId="7" name="PivotTable15"/>
  </pivotTables>
  <data>
    <olap pivotCacheId="183025470">
      <levels count="2">
        <level uniqueName="[Dim_Date].[Month].[(All)]" sourceCaption="(All)" count="0"/>
        <level uniqueName="[Dim_Date].[Month].[Month]" sourceCaption="Month" count="12">
          <ranges>
            <range startItem="0">
              <i n="[Dim_Date].[Month].&amp;[2025-01-01T00:00:00]" c="01-01-2025"/>
              <i n="[Dim_Date].[Month].&amp;[2025-02-01T00:00:00]" c="01-02-2025"/>
              <i n="[Dim_Date].[Month].&amp;[2025-03-01T00:00:00]" c="01-03-2025"/>
              <i n="[Dim_Date].[Month].&amp;[2025-04-01T00:00:00]" c="01-04-2025"/>
              <i n="[Dim_Date].[Month].&amp;[2025-05-01T00:00:00]" c="01-05-2025"/>
              <i n="[Dim_Date].[Month].&amp;[2025-06-01T00:00:00]" c="01-06-2025"/>
              <i n="[Dim_Date].[Month].&amp;[2025-07-01T00:00:00]" c="01-07-2025"/>
              <i n="[Dim_Date].[Month].&amp;[2025-08-01T00:00:00]" c="01-08-2025"/>
              <i n="[Dim_Date].[Month].&amp;[2025-09-01T00:00:00]" c="01-09-2025"/>
              <i n="[Dim_Date].[Month].&amp;[2025-10-01T00:00:00]" c="01-10-2025"/>
              <i n="[Dim_Date].[Month].&amp;[2025-11-01T00:00:00]" c="01-11-2025"/>
              <i n="[Dim_Date].[Month].&amp;[2025-12-01T00:00:00]" c="01-12-2025"/>
            </range>
          </ranges>
        </level>
      </levels>
      <selections count="1">
        <selection n="[Dim_Date].[Month].[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4" xr10:uid="{0C635FB6-28BB-40F5-B1B2-AD6B63E2A37E}" sourceName="[Table7].[Region]">
  <pivotTables>
    <pivotTable tabId="7" name="PivotTable11"/>
    <pivotTable tabId="7" name="PivotTable12"/>
    <pivotTable tabId="7" name="PivotTable15"/>
  </pivotTables>
  <data>
    <olap pivotCacheId="183025470">
      <levels count="2">
        <level uniqueName="[Table7].[Region].[(All)]" sourceCaption="(All)" count="0"/>
        <level uniqueName="[Table7].[Region].[Region]" sourceCaption="Region" count="4">
          <ranges>
            <range startItem="0">
              <i n="[Table7].[Region].&amp;[East]" c="East"/>
              <i n="[Table7].[Region].&amp;[North]" c="North"/>
              <i n="[Table7].[Region].&amp;[South]" c="South"/>
              <i n="[Table7].[Region].&amp;[West]" c="West"/>
            </range>
          </ranges>
        </level>
      </levels>
      <selections count="1">
        <selection n="[Table7].[Region].[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6187379E-99CB-484A-8A1A-F4A75B228B5D}" sourceName="[Dim_Customer].[Segment]">
  <pivotTables>
    <pivotTable tabId="7" name="PivotTable11"/>
    <pivotTable tabId="7" name="PivotTable12"/>
    <pivotTable tabId="7" name="PivotTable15"/>
  </pivotTables>
  <data>
    <olap pivotCacheId="183025470">
      <levels count="2">
        <level uniqueName="[Dim_Customer].[Segment].[(All)]" sourceCaption="(All)" count="0"/>
        <level uniqueName="[Dim_Customer].[Segment].[Segment]" sourceCaption="Segment" count="3">
          <ranges>
            <range startItem="0">
              <i n="[Dim_Customer].[Segment].&amp;[Consumer]" c="Consumer"/>
              <i n="[Dim_Customer].[Segment].&amp;[Corporate]" c="Corporate"/>
              <i n="[Dim_Customer].[Segment].&amp;[Home Office]" c="Home Office"/>
            </range>
          </ranges>
        </level>
      </levels>
      <selections count="1">
        <selection n="[Dim_Customer].[Segment].[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3" xr10:uid="{9CB2F3F1-33D7-4A48-A509-9E8B4AA64367}" sourceName="[Dim_Product].[Category]">
  <pivotTables>
    <pivotTable tabId="7" name="PivotTable11"/>
    <pivotTable tabId="7" name="PivotTable12"/>
    <pivotTable tabId="7" name="PivotTable15"/>
  </pivotTables>
  <data>
    <olap pivotCacheId="183025470">
      <levels count="2">
        <level uniqueName="[Dim_Product].[Category].[(All)]" sourceCaption="(All)" count="0"/>
        <level uniqueName="[Dim_Product].[Category].[Category]" sourceCaption="Category" count="3">
          <ranges>
            <range startItem="0">
              <i n="[Dim_Product].[Category].&amp;[Electronics]" c="Electronics"/>
              <i n="[Dim_Product].[Category].&amp;[Furniture]" c="Furniture"/>
              <i n="[Dim_Product].[Category].&amp;[Office Supplies]" c="Office Supplies"/>
            </range>
          </ranges>
        </level>
      </levels>
      <selections count="1">
        <selection n="[Dim_Product].[Category].[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Month" xr10:uid="{53A5B712-14B1-44DA-B4DD-2FD2ED725A1E}" sourceName="[Dim_Date].[Month (Month)]">
  <pivotTables>
    <pivotTable tabId="7" name="PivotTable1"/>
  </pivotTables>
  <data>
    <olap pivotCacheId="1754233390">
      <levels count="2">
        <level uniqueName="[Dim_Date].[Month (Month)].[(All)]" sourceCaption="(All)" count="0"/>
        <level uniqueName="[Dim_Date].[Month (Month)].[Month (Month)]" sourceCaption="Month (Month)" count="12">
          <ranges>
            <range startItem="0">
              <i n="[Dim_Date].[Month (Month)].&amp;[Jan]" c="Jan"/>
              <i n="[Dim_Date].[Month (Month)].&amp;[Feb]" c="Feb"/>
              <i n="[Dim_Date].[Month (Month)].&amp;[Mar]" c="Mar"/>
              <i n="[Dim_Date].[Month (Month)].&amp;[Apr]" c="Apr"/>
              <i n="[Dim_Date].[Month (Month)].&amp;[May]" c="May"/>
              <i n="[Dim_Date].[Month (Month)].&amp;[Jun]" c="Jun"/>
              <i n="[Dim_Date].[Month (Month)].&amp;[Jul]" c="Jul"/>
              <i n="[Dim_Date].[Month (Month)].&amp;[Aug]" c="Aug"/>
              <i n="[Dim_Date].[Month (Month)].&amp;[Sep]" c="Sep"/>
              <i n="[Dim_Date].[Month (Month)].&amp;[Oct]" c="Oct"/>
              <i n="[Dim_Date].[Month (Month)].&amp;[Nov]" c="Nov"/>
              <i n="[Dim_Date].[Month (Month)].&amp;[Dec]" c="Dec"/>
            </range>
          </ranges>
        </level>
      </levels>
      <selections count="1">
        <selection n="[Dim_Date].[Month (Month)].[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3" xr10:uid="{575E3629-B0FD-4769-846F-0DD2D4C390A7}" sourceName="[Dim_Customer].[Segment]">
  <pivotTables>
    <pivotTable tabId="7" name="PivotTable1"/>
  </pivotTables>
  <data>
    <olap pivotCacheId="1754233390">
      <levels count="2">
        <level uniqueName="[Dim_Customer].[Segment].[(All)]" sourceCaption="(All)" count="0"/>
        <level uniqueName="[Dim_Customer].[Segment].[Segment]" sourceCaption="Segment" count="3">
          <ranges>
            <range startItem="0">
              <i n="[Dim_Customer].[Segment].&amp;[Consumer]" c="Consumer"/>
              <i n="[Dim_Customer].[Segment].&amp;[Corporate]" c="Corporate"/>
              <i n="[Dim_Customer].[Segment].&amp;[Home Office]" c="Home Office"/>
            </range>
          </ranges>
        </level>
      </levels>
      <selections count="1">
        <selection n="[Dim_Customer].[Segment].[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4" xr10:uid="{C82F9580-AC11-439C-9430-2B2866094083}" sourceName="[Dim_Product].[Category]">
  <pivotTables>
    <pivotTable tabId="7" name="PivotTable1"/>
  </pivotTables>
  <data>
    <olap pivotCacheId="1754233390">
      <levels count="2">
        <level uniqueName="[Dim_Product].[Category].[(All)]" sourceCaption="(All)" count="0"/>
        <level uniqueName="[Dim_Product].[Category].[Category]" sourceCaption="Category" count="3">
          <ranges>
            <range startItem="0">
              <i n="[Dim_Product].[Category].&amp;[Electronics]" c="Electronics"/>
              <i n="[Dim_Product].[Category].&amp;[Furniture]" c="Furniture"/>
              <i n="[Dim_Product].[Category].&amp;[Office Supplies]" c="Office Supplies"/>
            </range>
          </ranges>
        </level>
      </levels>
      <selections count="1">
        <selection n="[Dim_Product].[Category].[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5" xr10:uid="{0AD2DFE9-F6B1-4590-9DD5-249E04797D7C}" sourceName="[Table7].[Region]">
  <pivotTables>
    <pivotTable tabId="7" name="PivotTable1"/>
  </pivotTables>
  <data>
    <olap pivotCacheId="1754233390">
      <levels count="2">
        <level uniqueName="[Table7].[Region].[(All)]" sourceCaption="(All)" count="0"/>
        <level uniqueName="[Table7].[Region].[Region]" sourceCaption="Region" count="4">
          <ranges>
            <range startItem="0">
              <i n="[Table7].[Region].&amp;[East]" c="East"/>
              <i n="[Table7].[Region].&amp;[North]" c="North"/>
              <i n="[Table7].[Region].&amp;[South]" c="South"/>
              <i n="[Table7].[Region].&amp;[West]" c="West"/>
            </range>
          </ranges>
        </level>
      </levels>
      <selections count="1">
        <selection n="[Table7].[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F9E68DF-301F-4875-88B3-9859424CFFC9}" cache="Slicer_Month" caption="Month" level="1" rowHeight="234950"/>
  <slicer name="Segment" xr10:uid="{87B5E048-3EFE-4F15-907B-A09C78426CC6}" cache="Slicer_Segment3" caption="Segment" level="1" rowHeight="234950"/>
  <slicer name="Category" xr10:uid="{AA7E31B0-B7EF-4406-AC61-937A75FC41AD}" cache="Slicer_Category4" caption="Category" level="1" rowHeight="234950"/>
  <slicer name="Region" xr10:uid="{C0D5B484-BD7E-449F-AFD0-7E1FCB16DFF7}" cache="Slicer_Region5"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Month)" xr10:uid="{72F1C59B-733D-447B-A2A5-2CC6E6060529}" cache="Slicer_Month__Month" caption="Month (Month)" level="1" rowHeight="234950"/>
  <slicer name="Segment 3" xr10:uid="{463AC6BE-DCC1-48D6-AFE2-CA2045EDD357}" cache="Slicer_Segment3" caption="Segment" level="1" rowHeight="234950"/>
  <slicer name="Category 4" xr10:uid="{6C0901CF-2F6F-4628-8DDE-FF36B4E42DE4}" cache="Slicer_Category4" caption="Category" level="1" rowHeight="234950"/>
  <slicer name="Region 5" xr10:uid="{A08A0C1C-475B-45AC-9762-CD9AEEF931BA}" cache="Slicer_Region5" caption="Region"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DA634C1-82DB-4ECC-A4C9-44E14C5A425D}" cache="Slicer_Month1" caption="Month" startItem="4" level="1" rowHeight="234950"/>
  <slicer name="Region 1" xr10:uid="{D75B344C-B524-40BF-AF86-F6B48DF72ACE}" cache="Slicer_Region1" caption="Region" level="1" rowHeight="234950"/>
  <slicer name="Category 1" xr10:uid="{264C4CA8-6663-437F-8D62-6B14744AF5A0}" cache="Slicer_Category1" caption="Catego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76F781D0-24F1-4A28-8116-BFEE1A072D92}" cache="Slicer_Segment1" caption="Segment" level="1" rowHeight="234950"/>
  <slicer name="Region 2" xr10:uid="{1F162F49-83B2-49B6-95D0-AFF0C0F88F63}" cache="Slicer_Region2" caption="Region"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EE723C94-F566-48CC-AA99-B00B576D9F33}" cache="Slicer_Category2" caption="Category" level="1" rowHeight="234950"/>
  <slicer name="Region 3" xr10:uid="{57458D4B-AD63-46D2-808C-9F408A6A202C}" cache="Slicer_Region3" caption="Region" level="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E276B4AF-7C8F-4952-8C43-DC368C4C6193}" cache="Slicer_Month3" caption="Month" level="1" rowHeight="234950"/>
  <slicer name="Region 4" xr10:uid="{CF5C1A4C-CF27-4821-9308-F45D972DE3C5}" cache="Slicer_Region4" caption="Region" level="1" rowHeight="234950"/>
  <slicer name="Segment 2" xr10:uid="{5DFA9FF1-B331-4CB4-83B4-22CF4F7BF29B}" cache="Slicer_Segment2" caption="Segment" level="1" rowHeight="234950"/>
  <slicer name="Category 3" xr10:uid="{F7D78F5A-C449-401F-B575-8AB6E1BBF116}" cache="Slicer_Category3" caption="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A41FD5-9821-4ACE-A40D-A10993A4C140}" name="Dim_Date" displayName="Dim_Date" ref="A1:C13" totalsRowShown="0" headerRowDxfId="39">
  <autoFilter ref="A1:C13" xr:uid="{82A41FD5-9821-4ACE-A40D-A10993A4C140}"/>
  <tableColumns count="3">
    <tableColumn id="1" xr3:uid="{D02BDA48-7FBD-464A-AD46-C738098ECCBA}" name="Month" dataDxfId="38"/>
    <tableColumn id="2" xr3:uid="{E4CDD361-1C88-4997-90F9-EDC3C368212E}" name="Target Sales" dataDxfId="37"/>
    <tableColumn id="3" xr3:uid="{3E21D8D6-FEDD-42C4-A259-37C5CCBED7E6}" name="Target achivement" dataDxfId="36">
      <calculatedColumnFormula>SUMIFS(Table1[[#This Row],[Sales]], Table1[[#This Row],[Date]],Dim_Date[[#This Row],[Month]]) / Dim_Date[[#This Row],[Target Sales]]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09694A-7389-4D87-8FDA-FA14EDE5A3B6}" name="Table1" displayName="Table1" ref="A1:I31" totalsRowShown="0" headerRowDxfId="35" dataDxfId="34">
  <autoFilter ref="A1:I31" xr:uid="{9C09694A-7389-4D87-8FDA-FA14EDE5A3B6}"/>
  <tableColumns count="9">
    <tableColumn id="1" xr3:uid="{4C4F4407-6A32-46BB-8B6E-40E7A22ABCF0}" name="OrderID" dataDxfId="33"/>
    <tableColumn id="2" xr3:uid="{CD3B7AD1-3AAA-48A3-BFD1-CBD717599C0D}" name="Date" dataDxfId="32"/>
    <tableColumn id="3" xr3:uid="{DE3181B2-F586-4C57-AB45-967858598D22}" name="CustomerID" dataDxfId="31"/>
    <tableColumn id="4" xr3:uid="{64D74F0F-9E98-485B-BBC7-25C151431D1E}" name="ProductID" dataDxfId="30"/>
    <tableColumn id="5" xr3:uid="{387684A8-A60E-477D-BCF8-10120DBB4234}" name="Qty" dataDxfId="29"/>
    <tableColumn id="6" xr3:uid="{B83990BC-9D21-4FF7-872E-E015C88C4D5D}" name="Sales" dataDxfId="28"/>
    <tableColumn id="7" xr3:uid="{988A1EBD-5F01-4518-9DF7-43815A384CE0}" name="profit" dataDxfId="27">
      <calculatedColumnFormula>Table1[[#This Row],[Sales]]-(Table1[[#This Row],[Qty]]*_xlfn.XLOOKUP(Table1[[#This Row],[ProductID]],Dim_Product[[#This Row],[ProductID]],Dim_Product[[#This Row],[Cost Price]]))</calculatedColumnFormula>
    </tableColumn>
    <tableColumn id="8" xr3:uid="{8DC33088-A36F-4F23-8317-8E1D8544D81F}" name="profit margin" dataDxfId="26">
      <calculatedColumnFormula>Table1[[#This Row],[profit]]/Table1[[#This Row],[Sales]]</calculatedColumnFormula>
    </tableColumn>
    <tableColumn id="9" xr3:uid="{BB45B037-596A-4E1A-8A0C-EF5884BBEC2B}" name="avg order value" dataDxfId="25">
      <calculatedColumnFormula>Table1[[#This Row],[Sales]]/Table1[[#This Row],[Qty]]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F3AF8F-6069-4EBB-A108-4AA3E8A49775}" name="Dim_Inventory" displayName="Dim_Inventory" ref="A1:E31" totalsRowShown="0" headerRowDxfId="22" dataDxfId="21">
  <autoFilter ref="A1:E31" xr:uid="{88F3AF8F-6069-4EBB-A108-4AA3E8A49775}"/>
  <tableColumns count="5">
    <tableColumn id="1" xr3:uid="{D79F6974-0B95-4B21-BB1C-5E7712AFF4F5}" name="ProductID" dataDxfId="20"/>
    <tableColumn id="2" xr3:uid="{449095F0-53A1-4F4E-BD3B-5ED7860800C7}" name="Current Stock" dataDxfId="19"/>
    <tableColumn id="3" xr3:uid="{7455B970-A016-4B50-82C9-5076436822E3}" name="Reorder Level" dataDxfId="18"/>
    <tableColumn id="4" xr3:uid="{DBB9EC60-42FD-4975-A70E-CED93BA31FAC}" name="Reorder alert" dataDxfId="17">
      <calculatedColumnFormula>IF(Dim_Inventory[[#This Row],[Current Stock]]&lt;Dim_Inventory[[#This Row],[Reorder Level]],"Reorder","Ok")</calculatedColumnFormula>
    </tableColumn>
    <tableColumn id="5" xr3:uid="{D0760897-8FEF-44D1-A16A-E3C17F335BA2}" name="Dead stock alert" dataDxfId="16">
      <calculatedColumnFormula>IF(Dim_Inventory[[#This Row],[Current Stock]]=0,"Dead Stock","present")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9111DB-F514-4544-A050-2BB18C17D985}" name="Dim_Product" displayName="Dim_Product" ref="A1:D31" totalsRowShown="0" headerRowDxfId="15" dataDxfId="14">
  <autoFilter ref="A1:D31" xr:uid="{319111DB-F514-4544-A050-2BB18C17D985}"/>
  <tableColumns count="4">
    <tableColumn id="1" xr3:uid="{56F089C5-8AA0-40E5-9368-3D3AEAA7EACC}" name="ProductID" dataDxfId="13"/>
    <tableColumn id="2" xr3:uid="{64711773-73F9-48E1-A067-91AE72BFF445}" name="Product Name" dataDxfId="12"/>
    <tableColumn id="3" xr3:uid="{99D58979-6F5D-4980-A532-0E5D4DE018FD}" name="Category" dataDxfId="11"/>
    <tableColumn id="4" xr3:uid="{2B6C5D72-2F5D-46AB-88E3-A238BBB7444D}" name="Cost Price" dataDxf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639C40-9D6B-41CB-BF18-C5C7065F28B9}" name="Dim_Customer" displayName="Dim_Customer" ref="A1:E31" totalsRowShown="0" headerRowDxfId="9" dataDxfId="8">
  <autoFilter ref="A1:E31" xr:uid="{B0639C40-9D6B-41CB-BF18-C5C7065F28B9}"/>
  <tableColumns count="5">
    <tableColumn id="1" xr3:uid="{20CCD4E3-FC64-440F-AF03-8021F5EDF483}" name="CustomerID" dataDxfId="7"/>
    <tableColumn id="2" xr3:uid="{303AF6E3-47A0-4819-94CB-C6A70594DD44}" name="Customer Name" dataDxfId="6"/>
    <tableColumn id="3" xr3:uid="{FE766E29-CB86-4C00-ABFC-B2D539DC88CC}" name="City" dataDxfId="5"/>
    <tableColumn id="4" xr3:uid="{EB147879-4381-4212-981E-A29289A6A173}" name="State" dataDxfId="4"/>
    <tableColumn id="5" xr3:uid="{2C9D4863-10D7-4CAE-B049-93A8C159FECB}" name="Segment" dataDxfId="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748488C-72CB-4AD8-996F-705ECC3EC693}" name="Table7" displayName="Table7" ref="A1:B11" totalsRowShown="0">
  <autoFilter ref="A1:B11" xr:uid="{0748488C-72CB-4AD8-996F-705ECC3EC693}"/>
  <tableColumns count="2">
    <tableColumn id="1" xr3:uid="{B7BDE164-FF1C-4D3B-A5D1-B56AC7DD27F5}" name="State"/>
    <tableColumn id="2" xr3:uid="{D9C4C149-2FE4-4B08-91A0-DB33C0F08309}" name="Reg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D512CB9-4FBF-41E5-B1D8-97BC24B5648B}" name="Table6" displayName="Table6" ref="A1:E16" totalsRowShown="0">
  <autoFilter ref="A1:E16" xr:uid="{FD512CB9-4FBF-41E5-B1D8-97BC24B5648B}"/>
  <tableColumns count="5">
    <tableColumn id="1" xr3:uid="{D522EDD2-C96C-4933-8A24-C2F4C57E4957}" name="Row Labels" dataDxfId="2"/>
    <tableColumn id="2" xr3:uid="{9F44FE9D-DFF0-43A4-9D79-111D07582EC3}" name="Sum of Sales"/>
    <tableColumn id="3" xr3:uid="{048F9ACA-9C10-4477-933B-8AAB4F0D9DFC}" name="Forecast(Sum of Sales)"/>
    <tableColumn id="4" xr3:uid="{BA737AD7-2B7F-40B0-85A2-59D874E0973E}" name="Lower Confidence Bound(Sum of Sales)" dataDxfId="1"/>
    <tableColumn id="5" xr3:uid="{3B259912-DC9A-4E42-8570-B3C3DDA9DD73}" name="Upper Confidence Bound(Sum of 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0AA5F-D35E-4E9D-BBA5-E71B456365EF}">
  <dimension ref="A1:C13"/>
  <sheetViews>
    <sheetView workbookViewId="0">
      <selection activeCell="C2" sqref="C2"/>
    </sheetView>
  </sheetViews>
  <sheetFormatPr defaultRowHeight="15"/>
  <cols>
    <col min="2" max="2" width="11.42578125" bestFit="1" customWidth="1"/>
    <col min="3" max="3" width="18.28515625" customWidth="1"/>
  </cols>
  <sheetData>
    <row r="1" spans="1:3" ht="30">
      <c r="A1" s="1" t="s">
        <v>0</v>
      </c>
      <c r="B1" s="1" t="s">
        <v>1</v>
      </c>
      <c r="C1" s="1" t="s">
        <v>2</v>
      </c>
    </row>
    <row r="2" spans="1:3">
      <c r="A2" s="2">
        <v>45658</v>
      </c>
      <c r="B2" s="3">
        <v>300000</v>
      </c>
      <c r="C2" s="3">
        <f>SUMIFS(Table1[[#This Row],[Sales]], Table1[[#This Row],[Date]],Dim_Date[[#This Row],[Month]]) / Dim_Date[[#This Row],[Target Sales]]</f>
        <v>0.16666666666666666</v>
      </c>
    </row>
    <row r="3" spans="1:3">
      <c r="A3" s="2">
        <v>45689</v>
      </c>
      <c r="B3" s="3">
        <v>320000</v>
      </c>
      <c r="C3">
        <f>SUMIFS(Table1[[#This Row],[Sales]], Table1[[#This Row],[Date]],Dim_Date[[#This Row],[Month]]) / Dim_Date[[#This Row],[Target Sales]]</f>
        <v>0</v>
      </c>
    </row>
    <row r="4" spans="1:3">
      <c r="A4" s="2">
        <v>45717</v>
      </c>
      <c r="B4" s="3">
        <v>340000</v>
      </c>
      <c r="C4">
        <f>SUMIFS(Table1[[#This Row],[Sales]], Table1[[#This Row],[Date]],Dim_Date[[#This Row],[Month]]) / Dim_Date[[#This Row],[Target Sales]]</f>
        <v>0</v>
      </c>
    </row>
    <row r="5" spans="1:3">
      <c r="A5" s="2">
        <v>45748</v>
      </c>
      <c r="B5" s="3">
        <v>350000</v>
      </c>
      <c r="C5">
        <f>SUMIFS(Table1[[#This Row],[Sales]], Table1[[#This Row],[Date]],Dim_Date[[#This Row],[Month]]) / Dim_Date[[#This Row],[Target Sales]]</f>
        <v>0</v>
      </c>
    </row>
    <row r="6" spans="1:3">
      <c r="A6" s="2">
        <v>45778</v>
      </c>
      <c r="B6" s="3">
        <v>370000</v>
      </c>
      <c r="C6">
        <f>SUMIFS(Table1[[#This Row],[Sales]], Table1[[#This Row],[Date]],Dim_Date[[#This Row],[Month]]) / Dim_Date[[#This Row],[Target Sales]]</f>
        <v>0</v>
      </c>
    </row>
    <row r="7" spans="1:3">
      <c r="A7" s="2">
        <v>45809</v>
      </c>
      <c r="B7" s="3">
        <v>390000</v>
      </c>
      <c r="C7">
        <f>SUMIFS(Table1[[#This Row],[Sales]], Table1[[#This Row],[Date]],Dim_Date[[#This Row],[Month]]) / Dim_Date[[#This Row],[Target Sales]]</f>
        <v>0</v>
      </c>
    </row>
    <row r="8" spans="1:3">
      <c r="A8" s="2">
        <v>45839</v>
      </c>
      <c r="B8" s="3">
        <v>400000</v>
      </c>
      <c r="C8">
        <f>SUMIFS(Table1[[#This Row],[Sales]], Table1[[#This Row],[Date]],Dim_Date[[#This Row],[Month]]) / Dim_Date[[#This Row],[Target Sales]]</f>
        <v>0</v>
      </c>
    </row>
    <row r="9" spans="1:3">
      <c r="A9" s="2">
        <v>45870</v>
      </c>
      <c r="B9" s="3">
        <v>420000</v>
      </c>
      <c r="C9">
        <f>SUMIFS(Table1[[#This Row],[Sales]], Table1[[#This Row],[Date]],Dim_Date[[#This Row],[Month]]) / Dim_Date[[#This Row],[Target Sales]]</f>
        <v>0</v>
      </c>
    </row>
    <row r="10" spans="1:3">
      <c r="A10" s="2">
        <v>45901</v>
      </c>
      <c r="B10" s="3">
        <v>430000</v>
      </c>
      <c r="C10">
        <f>SUMIFS(Table1[[#This Row],[Sales]], Table1[[#This Row],[Date]],Dim_Date[[#This Row],[Month]]) / Dim_Date[[#This Row],[Target Sales]]</f>
        <v>0</v>
      </c>
    </row>
    <row r="11" spans="1:3">
      <c r="A11" s="2">
        <v>45931</v>
      </c>
      <c r="B11" s="3">
        <v>450000</v>
      </c>
      <c r="C11">
        <f>SUMIFS(Table1[[#This Row],[Sales]], Table1[[#This Row],[Date]],Dim_Date[[#This Row],[Month]]) / Dim_Date[[#This Row],[Target Sales]]</f>
        <v>0</v>
      </c>
    </row>
    <row r="12" spans="1:3">
      <c r="A12" s="2">
        <v>45962</v>
      </c>
      <c r="B12" s="3">
        <v>470000</v>
      </c>
      <c r="C12">
        <f>SUMIFS(Table1[[#This Row],[Sales]], Table1[[#This Row],[Date]],Dim_Date[[#This Row],[Month]]) / Dim_Date[[#This Row],[Target Sales]]</f>
        <v>0</v>
      </c>
    </row>
    <row r="13" spans="1:3">
      <c r="A13" s="2">
        <v>45992</v>
      </c>
      <c r="B13" s="3">
        <v>500000</v>
      </c>
      <c r="C13">
        <f>SUMIFS(Table1[[#This Row],[Sales]], Table1[[#This Row],[Date]],Dim_Date[[#This Row],[Month]]) / Dim_Date[[#This Row],[Target Sales]]</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BEFFF-AF9E-4C2A-8A16-49920CB968EB}">
  <dimension ref="A1:I31"/>
  <sheetViews>
    <sheetView tabSelected="1" workbookViewId="0">
      <selection activeCell="H16" sqref="H16"/>
    </sheetView>
  </sheetViews>
  <sheetFormatPr defaultRowHeight="15"/>
  <cols>
    <col min="1" max="1" width="10.28515625" bestFit="1" customWidth="1"/>
    <col min="2" max="2" width="10.28515625" style="11" bestFit="1" customWidth="1"/>
    <col min="3" max="3" width="15.140625" customWidth="1"/>
    <col min="4" max="4" width="11.42578125" bestFit="1" customWidth="1"/>
    <col min="8" max="8" width="9.140625" style="6"/>
  </cols>
  <sheetData>
    <row r="1" spans="1:9" ht="45">
      <c r="A1" s="1" t="s">
        <v>3</v>
      </c>
      <c r="B1" s="14" t="s">
        <v>4</v>
      </c>
      <c r="C1" s="1" t="s">
        <v>5</v>
      </c>
      <c r="D1" s="1" t="s">
        <v>6</v>
      </c>
      <c r="E1" s="1" t="s">
        <v>7</v>
      </c>
      <c r="F1" s="1" t="s">
        <v>8</v>
      </c>
      <c r="G1" s="1" t="s">
        <v>9</v>
      </c>
      <c r="H1" s="5" t="s">
        <v>10</v>
      </c>
      <c r="I1" s="1" t="s">
        <v>11</v>
      </c>
    </row>
    <row r="2" spans="1:9">
      <c r="A2" s="3" t="s">
        <v>12</v>
      </c>
      <c r="B2" s="13">
        <v>45658</v>
      </c>
      <c r="C2" s="3" t="s">
        <v>13</v>
      </c>
      <c r="D2" s="3" t="s">
        <v>14</v>
      </c>
      <c r="E2" s="3">
        <v>1</v>
      </c>
      <c r="F2" s="3">
        <v>50000</v>
      </c>
      <c r="G2" s="3">
        <f>Table1[[#This Row],[Sales]]-(Table1[[#This Row],[Qty]]*_xlfn.XLOOKUP(Table1[[#This Row],[ProductID]],Dim_Product[[#This Row],[ProductID]],Dim_Product[[#This Row],[Cost Price]]))</f>
        <v>10000</v>
      </c>
      <c r="H2" s="4">
        <f>Table1[[#This Row],[profit]]/Table1[[#This Row],[Sales]]</f>
        <v>0.2</v>
      </c>
      <c r="I2" s="3">
        <f>Table1[[#This Row],[Sales]]/Table1[[#This Row],[Qty]]</f>
        <v>50000</v>
      </c>
    </row>
    <row r="3" spans="1:9">
      <c r="A3" s="3" t="s">
        <v>15</v>
      </c>
      <c r="B3" s="13">
        <v>45659</v>
      </c>
      <c r="C3" s="3" t="s">
        <v>16</v>
      </c>
      <c r="D3" s="3" t="s">
        <v>17</v>
      </c>
      <c r="E3" s="3">
        <v>2</v>
      </c>
      <c r="F3" s="3">
        <v>28000</v>
      </c>
      <c r="G3" s="3">
        <f>Table1[[#This Row],[Sales]]-(Table1[[#This Row],[Qty]]*_xlfn.XLOOKUP(Table1[[#This Row],[ProductID]],Dim_Product[[#This Row],[ProductID]],Dim_Product[[#This Row],[Cost Price]]))</f>
        <v>4000</v>
      </c>
      <c r="H3" s="4">
        <f>Table1[[#This Row],[profit]]/Table1[[#This Row],[Sales]]</f>
        <v>0.14285714285714285</v>
      </c>
      <c r="I3" s="3">
        <f>Table1[[#This Row],[Sales]]/Table1[[#This Row],[Qty]]</f>
        <v>14000</v>
      </c>
    </row>
    <row r="4" spans="1:9">
      <c r="A4" s="3" t="s">
        <v>18</v>
      </c>
      <c r="B4" s="13">
        <v>45660</v>
      </c>
      <c r="C4" s="3" t="s">
        <v>19</v>
      </c>
      <c r="D4" s="3" t="s">
        <v>20</v>
      </c>
      <c r="E4" s="3">
        <v>5</v>
      </c>
      <c r="F4" s="3">
        <v>7500</v>
      </c>
      <c r="G4" s="3">
        <f>Table1[[#This Row],[Sales]]-(Table1[[#This Row],[Qty]]*_xlfn.XLOOKUP(Table1[[#This Row],[ProductID]],Dim_Product[[#This Row],[ProductID]],Dim_Product[[#This Row],[Cost Price]]))</f>
        <v>2500</v>
      </c>
      <c r="H4" s="4">
        <f>Table1[[#This Row],[profit]]/Table1[[#This Row],[Sales]]</f>
        <v>0.33333333333333331</v>
      </c>
      <c r="I4" s="3">
        <f>Table1[[#This Row],[Sales]]/Table1[[#This Row],[Qty]]</f>
        <v>1500</v>
      </c>
    </row>
    <row r="5" spans="1:9">
      <c r="A5" s="3" t="s">
        <v>21</v>
      </c>
      <c r="B5" s="13">
        <v>45661</v>
      </c>
      <c r="C5" s="3" t="s">
        <v>22</v>
      </c>
      <c r="D5" s="3" t="s">
        <v>23</v>
      </c>
      <c r="E5" s="3">
        <v>3</v>
      </c>
      <c r="F5" s="3">
        <v>2400</v>
      </c>
      <c r="G5" s="3">
        <f>Table1[[#This Row],[Sales]]-(Table1[[#This Row],[Qty]]*_xlfn.XLOOKUP(Table1[[#This Row],[ProductID]],Dim_Product[[#This Row],[ProductID]],Dim_Product[[#This Row],[Cost Price]]))</f>
        <v>900</v>
      </c>
      <c r="H5" s="4">
        <f>Table1[[#This Row],[profit]]/Table1[[#This Row],[Sales]]</f>
        <v>0.375</v>
      </c>
      <c r="I5" s="3">
        <f>Table1[[#This Row],[Sales]]/Table1[[#This Row],[Qty]]</f>
        <v>800</v>
      </c>
    </row>
    <row r="6" spans="1:9">
      <c r="A6" s="3" t="s">
        <v>24</v>
      </c>
      <c r="B6" s="13">
        <v>45662</v>
      </c>
      <c r="C6" s="3" t="s">
        <v>25</v>
      </c>
      <c r="D6" s="3" t="s">
        <v>26</v>
      </c>
      <c r="E6" s="3">
        <v>1</v>
      </c>
      <c r="F6" s="3">
        <v>18000</v>
      </c>
      <c r="G6" s="3">
        <f>Table1[[#This Row],[Sales]]-(Table1[[#This Row],[Qty]]*_xlfn.XLOOKUP(Table1[[#This Row],[ProductID]],Dim_Product[[#This Row],[ProductID]],Dim_Product[[#This Row],[Cost Price]]))</f>
        <v>3000</v>
      </c>
      <c r="H6" s="4">
        <f>Table1[[#This Row],[profit]]/Table1[[#This Row],[Sales]]</f>
        <v>0.16666666666666666</v>
      </c>
      <c r="I6" s="3">
        <f>Table1[[#This Row],[Sales]]/Table1[[#This Row],[Qty]]</f>
        <v>18000</v>
      </c>
    </row>
    <row r="7" spans="1:9">
      <c r="A7" s="3" t="s">
        <v>27</v>
      </c>
      <c r="B7" s="13">
        <v>45694</v>
      </c>
      <c r="C7" s="3" t="s">
        <v>22</v>
      </c>
      <c r="D7" s="3" t="s">
        <v>28</v>
      </c>
      <c r="E7" s="3">
        <v>2</v>
      </c>
      <c r="F7" s="3">
        <v>12000</v>
      </c>
      <c r="G7" s="3">
        <f>Table1[[#This Row],[Sales]]-(Table1[[#This Row],[Qty]]*_xlfn.XLOOKUP(Table1[[#This Row],[ProductID]],Dim_Product[[#This Row],[ProductID]],Dim_Product[[#This Row],[Cost Price]]))</f>
        <v>2000</v>
      </c>
      <c r="H7" s="4">
        <f>Table1[[#This Row],[profit]]/Table1[[#This Row],[Sales]]</f>
        <v>0.16666666666666666</v>
      </c>
      <c r="I7" s="3">
        <f>Table1[[#This Row],[Sales]]/Table1[[#This Row],[Qty]]</f>
        <v>6000</v>
      </c>
    </row>
    <row r="8" spans="1:9">
      <c r="A8" s="3" t="s">
        <v>29</v>
      </c>
      <c r="B8" s="13">
        <v>45695</v>
      </c>
      <c r="C8" s="3" t="s">
        <v>30</v>
      </c>
      <c r="D8" s="3" t="s">
        <v>31</v>
      </c>
      <c r="E8" s="3">
        <v>3</v>
      </c>
      <c r="F8" s="3">
        <v>9000</v>
      </c>
      <c r="G8" s="3">
        <f>Table1[[#This Row],[Sales]]-(Table1[[#This Row],[Qty]]*_xlfn.XLOOKUP(Table1[[#This Row],[ProductID]],Dim_Product[[#This Row],[ProductID]],Dim_Product[[#This Row],[Cost Price]]))</f>
        <v>1500</v>
      </c>
      <c r="H8" s="4">
        <f>Table1[[#This Row],[profit]]/Table1[[#This Row],[Sales]]</f>
        <v>0.16666666666666666</v>
      </c>
      <c r="I8" s="3">
        <f>Table1[[#This Row],[Sales]]/Table1[[#This Row],[Qty]]</f>
        <v>3000</v>
      </c>
    </row>
    <row r="9" spans="1:9">
      <c r="A9" s="3" t="s">
        <v>32</v>
      </c>
      <c r="B9" s="13">
        <v>45724</v>
      </c>
      <c r="C9" s="3" t="s">
        <v>33</v>
      </c>
      <c r="D9" s="3" t="s">
        <v>34</v>
      </c>
      <c r="E9" s="3">
        <v>1</v>
      </c>
      <c r="F9" s="3">
        <v>6000</v>
      </c>
      <c r="G9" s="3">
        <f>Table1[[#This Row],[Sales]]-(Table1[[#This Row],[Qty]]*_xlfn.XLOOKUP(Table1[[#This Row],[ProductID]],Dim_Product[[#This Row],[ProductID]],Dim_Product[[#This Row],[Cost Price]]))</f>
        <v>1500</v>
      </c>
      <c r="H9" s="4">
        <f>Table1[[#This Row],[profit]]/Table1[[#This Row],[Sales]]</f>
        <v>0.25</v>
      </c>
      <c r="I9" s="3">
        <f>Table1[[#This Row],[Sales]]/Table1[[#This Row],[Qty]]</f>
        <v>6000</v>
      </c>
    </row>
    <row r="10" spans="1:9">
      <c r="A10" s="3" t="s">
        <v>35</v>
      </c>
      <c r="B10" s="13">
        <v>45725</v>
      </c>
      <c r="C10" s="3" t="s">
        <v>22</v>
      </c>
      <c r="D10" s="3" t="s">
        <v>36</v>
      </c>
      <c r="E10" s="3">
        <v>2</v>
      </c>
      <c r="F10" s="3">
        <v>7000</v>
      </c>
      <c r="G10" s="3">
        <f>Table1[[#This Row],[Sales]]-(Table1[[#This Row],[Qty]]*_xlfn.XLOOKUP(Table1[[#This Row],[ProductID]],Dim_Product[[#This Row],[ProductID]],Dim_Product[[#This Row],[Cost Price]]))</f>
        <v>1000</v>
      </c>
      <c r="H10" s="4">
        <f>Table1[[#This Row],[profit]]/Table1[[#This Row],[Sales]]</f>
        <v>0.14285714285714285</v>
      </c>
      <c r="I10" s="3">
        <f>Table1[[#This Row],[Sales]]/Table1[[#This Row],[Qty]]</f>
        <v>3500</v>
      </c>
    </row>
    <row r="11" spans="1:9">
      <c r="A11" s="3" t="s">
        <v>37</v>
      </c>
      <c r="B11" s="13">
        <v>45726</v>
      </c>
      <c r="C11" s="3" t="s">
        <v>38</v>
      </c>
      <c r="D11" s="3" t="s">
        <v>39</v>
      </c>
      <c r="E11" s="3">
        <v>10</v>
      </c>
      <c r="F11" s="3">
        <v>1500</v>
      </c>
      <c r="G11" s="3">
        <f>Table1[[#This Row],[Sales]]-(Table1[[#This Row],[Qty]]*_xlfn.XLOOKUP(Table1[[#This Row],[ProductID]],Dim_Product[[#This Row],[ProductID]],Dim_Product[[#This Row],[Cost Price]]))</f>
        <v>500</v>
      </c>
      <c r="H11" s="4">
        <f>Table1[[#This Row],[profit]]/Table1[[#This Row],[Sales]]</f>
        <v>0.33333333333333331</v>
      </c>
      <c r="I11" s="3">
        <f>Table1[[#This Row],[Sales]]/Table1[[#This Row],[Qty]]</f>
        <v>150</v>
      </c>
    </row>
    <row r="12" spans="1:9">
      <c r="A12" s="3" t="s">
        <v>40</v>
      </c>
      <c r="B12" s="13">
        <v>45758</v>
      </c>
      <c r="C12" s="3" t="s">
        <v>41</v>
      </c>
      <c r="D12" s="3" t="s">
        <v>42</v>
      </c>
      <c r="E12" s="3">
        <v>20</v>
      </c>
      <c r="F12" s="3">
        <v>1200</v>
      </c>
      <c r="G12" s="3">
        <f>Table1[[#This Row],[Sales]]-(Table1[[#This Row],[Qty]]*_xlfn.XLOOKUP(Table1[[#This Row],[ProductID]],Dim_Product[[#This Row],[ProductID]],Dim_Product[[#This Row],[Cost Price]]))</f>
        <v>200</v>
      </c>
      <c r="H12" s="4">
        <f>Table1[[#This Row],[profit]]/Table1[[#This Row],[Sales]]</f>
        <v>0.16666666666666666</v>
      </c>
      <c r="I12" s="3">
        <f>Table1[[#This Row],[Sales]]/Table1[[#This Row],[Qty]]</f>
        <v>60</v>
      </c>
    </row>
    <row r="13" spans="1:9">
      <c r="A13" s="3" t="s">
        <v>43</v>
      </c>
      <c r="B13" s="13">
        <v>45759</v>
      </c>
      <c r="C13" s="3" t="s">
        <v>44</v>
      </c>
      <c r="D13" s="3" t="s">
        <v>45</v>
      </c>
      <c r="E13" s="3">
        <v>4</v>
      </c>
      <c r="F13" s="3">
        <v>3200</v>
      </c>
      <c r="G13" s="3">
        <f>Table1[[#This Row],[Sales]]-(Table1[[#This Row],[Qty]]*_xlfn.XLOOKUP(Table1[[#This Row],[ProductID]],Dim_Product[[#This Row],[ProductID]],Dim_Product[[#This Row],[Cost Price]]))</f>
        <v>800</v>
      </c>
      <c r="H13" s="4">
        <f>Table1[[#This Row],[profit]]/Table1[[#This Row],[Sales]]</f>
        <v>0.25</v>
      </c>
      <c r="I13" s="3">
        <f>Table1[[#This Row],[Sales]]/Table1[[#This Row],[Qty]]</f>
        <v>800</v>
      </c>
    </row>
    <row r="14" spans="1:9">
      <c r="A14" s="3" t="s">
        <v>46</v>
      </c>
      <c r="B14" s="13">
        <v>45760</v>
      </c>
      <c r="C14" s="3" t="s">
        <v>47</v>
      </c>
      <c r="D14" s="3" t="s">
        <v>48</v>
      </c>
      <c r="E14" s="3">
        <v>1</v>
      </c>
      <c r="F14" s="3">
        <v>10000</v>
      </c>
      <c r="G14" s="3">
        <f>Table1[[#This Row],[Sales]]-(Table1[[#This Row],[Qty]]*_xlfn.XLOOKUP(Table1[[#This Row],[ProductID]],Dim_Product[[#This Row],[ProductID]],Dim_Product[[#This Row],[Cost Price]]))</f>
        <v>2000</v>
      </c>
      <c r="H14" s="4">
        <f>Table1[[#This Row],[profit]]/Table1[[#This Row],[Sales]]</f>
        <v>0.2</v>
      </c>
      <c r="I14" s="3">
        <f>Table1[[#This Row],[Sales]]/Table1[[#This Row],[Qty]]</f>
        <v>10000</v>
      </c>
    </row>
    <row r="15" spans="1:9">
      <c r="A15" s="3" t="s">
        <v>49</v>
      </c>
      <c r="B15" s="13">
        <v>45791</v>
      </c>
      <c r="C15" s="3" t="s">
        <v>50</v>
      </c>
      <c r="D15" s="3" t="s">
        <v>51</v>
      </c>
      <c r="E15" s="3">
        <v>2</v>
      </c>
      <c r="F15" s="3">
        <v>5000</v>
      </c>
      <c r="G15" s="3">
        <f>Table1[[#This Row],[Sales]]-(Table1[[#This Row],[Qty]]*_xlfn.XLOOKUP(Table1[[#This Row],[ProductID]],Dim_Product[[#This Row],[ProductID]],Dim_Product[[#This Row],[Cost Price]]))</f>
        <v>1000</v>
      </c>
      <c r="H15" s="4">
        <f>Table1[[#This Row],[profit]]/Table1[[#This Row],[Sales]]</f>
        <v>0.2</v>
      </c>
      <c r="I15" s="3">
        <f>Table1[[#This Row],[Sales]]/Table1[[#This Row],[Qty]]</f>
        <v>2500</v>
      </c>
    </row>
    <row r="16" spans="1:9">
      <c r="A16" s="3" t="s">
        <v>52</v>
      </c>
      <c r="B16" s="13">
        <v>45792</v>
      </c>
      <c r="C16" s="3" t="s">
        <v>47</v>
      </c>
      <c r="D16" s="3" t="s">
        <v>53</v>
      </c>
      <c r="E16" s="3">
        <v>2</v>
      </c>
      <c r="F16" s="3">
        <v>6000</v>
      </c>
      <c r="G16" s="3">
        <f>Table1[[#This Row],[Sales]]-(Table1[[#This Row],[Qty]]*_xlfn.XLOOKUP(Table1[[#This Row],[ProductID]],Dim_Product[[#This Row],[ProductID]],Dim_Product[[#This Row],[Cost Price]]))</f>
        <v>1000</v>
      </c>
      <c r="H16" s="4">
        <f>Table1[[#This Row],[profit]]/Table1[[#This Row],[Sales]]</f>
        <v>0.16666666666666666</v>
      </c>
      <c r="I16" s="3">
        <f>Table1[[#This Row],[Sales]]/Table1[[#This Row],[Qty]]</f>
        <v>3000</v>
      </c>
    </row>
    <row r="17" spans="1:9">
      <c r="A17" s="3" t="s">
        <v>54</v>
      </c>
      <c r="B17" s="13">
        <v>45793</v>
      </c>
      <c r="C17" s="3" t="s">
        <v>55</v>
      </c>
      <c r="D17" s="3" t="s">
        <v>56</v>
      </c>
      <c r="E17" s="3">
        <v>1</v>
      </c>
      <c r="F17" s="3">
        <v>22000</v>
      </c>
      <c r="G17" s="3">
        <f>Table1[[#This Row],[Sales]]-(Table1[[#This Row],[Qty]]*_xlfn.XLOOKUP(Table1[[#This Row],[ProductID]],Dim_Product[[#This Row],[ProductID]],Dim_Product[[#This Row],[Cost Price]]))</f>
        <v>4000</v>
      </c>
      <c r="H17" s="4">
        <f>Table1[[#This Row],[profit]]/Table1[[#This Row],[Sales]]</f>
        <v>0.18181818181818182</v>
      </c>
      <c r="I17" s="3">
        <f>Table1[[#This Row],[Sales]]/Table1[[#This Row],[Qty]]</f>
        <v>22000</v>
      </c>
    </row>
    <row r="18" spans="1:9">
      <c r="A18" s="3" t="s">
        <v>57</v>
      </c>
      <c r="B18" s="13">
        <v>45794</v>
      </c>
      <c r="C18" s="3" t="s">
        <v>58</v>
      </c>
      <c r="D18" s="3" t="s">
        <v>59</v>
      </c>
      <c r="E18" s="3">
        <v>1</v>
      </c>
      <c r="F18" s="3">
        <v>32000</v>
      </c>
      <c r="G18" s="3">
        <f>Table1[[#This Row],[Sales]]-(Table1[[#This Row],[Qty]]*_xlfn.XLOOKUP(Table1[[#This Row],[ProductID]],Dim_Product[[#This Row],[ProductID]],Dim_Product[[#This Row],[Cost Price]]))</f>
        <v>7000</v>
      </c>
      <c r="H18" s="4">
        <f>Table1[[#This Row],[profit]]/Table1[[#This Row],[Sales]]</f>
        <v>0.21875</v>
      </c>
      <c r="I18" s="3">
        <f>Table1[[#This Row],[Sales]]/Table1[[#This Row],[Qty]]</f>
        <v>32000</v>
      </c>
    </row>
    <row r="19" spans="1:9">
      <c r="A19" s="3" t="s">
        <v>60</v>
      </c>
      <c r="B19" s="13">
        <v>45826</v>
      </c>
      <c r="C19" s="3" t="s">
        <v>61</v>
      </c>
      <c r="D19" s="3" t="s">
        <v>62</v>
      </c>
      <c r="E19" s="3">
        <v>3</v>
      </c>
      <c r="F19" s="3">
        <v>6000</v>
      </c>
      <c r="G19" s="3">
        <f>Table1[[#This Row],[Sales]]-(Table1[[#This Row],[Qty]]*_xlfn.XLOOKUP(Table1[[#This Row],[ProductID]],Dim_Product[[#This Row],[ProductID]],Dim_Product[[#This Row],[Cost Price]]))</f>
        <v>1500</v>
      </c>
      <c r="H19" s="4">
        <f>Table1[[#This Row],[profit]]/Table1[[#This Row],[Sales]]</f>
        <v>0.25</v>
      </c>
      <c r="I19" s="3">
        <f>Table1[[#This Row],[Sales]]/Table1[[#This Row],[Qty]]</f>
        <v>2000</v>
      </c>
    </row>
    <row r="20" spans="1:9">
      <c r="A20" s="3" t="s">
        <v>63</v>
      </c>
      <c r="B20" s="13">
        <v>45827</v>
      </c>
      <c r="C20" s="3" t="s">
        <v>47</v>
      </c>
      <c r="D20" s="3" t="s">
        <v>64</v>
      </c>
      <c r="E20" s="3">
        <v>1</v>
      </c>
      <c r="F20" s="3">
        <v>9000</v>
      </c>
      <c r="G20" s="3">
        <f>Table1[[#This Row],[Sales]]-(Table1[[#This Row],[Qty]]*_xlfn.XLOOKUP(Table1[[#This Row],[ProductID]],Dim_Product[[#This Row],[ProductID]],Dim_Product[[#This Row],[Cost Price]]))</f>
        <v>2000</v>
      </c>
      <c r="H20" s="4">
        <f>Table1[[#This Row],[profit]]/Table1[[#This Row],[Sales]]</f>
        <v>0.22222222222222221</v>
      </c>
      <c r="I20" s="3">
        <f>Table1[[#This Row],[Sales]]/Table1[[#This Row],[Qty]]</f>
        <v>9000</v>
      </c>
    </row>
    <row r="21" spans="1:9">
      <c r="A21" s="3" t="s">
        <v>65</v>
      </c>
      <c r="B21" s="13">
        <v>45677</v>
      </c>
      <c r="C21" s="3" t="s">
        <v>66</v>
      </c>
      <c r="D21" s="3" t="s">
        <v>67</v>
      </c>
      <c r="E21" s="3">
        <v>15</v>
      </c>
      <c r="F21" s="3">
        <v>4500</v>
      </c>
      <c r="G21" s="3">
        <f>Table1[[#This Row],[Sales]]-(Table1[[#This Row],[Qty]]*_xlfn.XLOOKUP(Table1[[#This Row],[ProductID]],Dim_Product[[#This Row],[ProductID]],Dim_Product[[#This Row],[Cost Price]]))</f>
        <v>750</v>
      </c>
      <c r="H21" s="4">
        <f>Table1[[#This Row],[profit]]/Table1[[#This Row],[Sales]]</f>
        <v>0.16666666666666666</v>
      </c>
      <c r="I21" s="3">
        <f>Table1[[#This Row],[Sales]]/Table1[[#This Row],[Qty]]</f>
        <v>300</v>
      </c>
    </row>
    <row r="22" spans="1:9">
      <c r="A22" s="3" t="s">
        <v>68</v>
      </c>
      <c r="B22" s="13">
        <v>45678</v>
      </c>
      <c r="C22" s="3" t="s">
        <v>69</v>
      </c>
      <c r="D22" s="3" t="s">
        <v>70</v>
      </c>
      <c r="E22" s="3">
        <v>10</v>
      </c>
      <c r="F22" s="3">
        <v>2500</v>
      </c>
      <c r="G22" s="3">
        <f>Table1[[#This Row],[Sales]]-(Table1[[#This Row],[Qty]]*_xlfn.XLOOKUP(Table1[[#This Row],[ProductID]],Dim_Product[[#This Row],[ProductID]],Dim_Product[[#This Row],[Cost Price]]))</f>
        <v>1000</v>
      </c>
      <c r="H22" s="4">
        <f>Table1[[#This Row],[profit]]/Table1[[#This Row],[Sales]]</f>
        <v>0.4</v>
      </c>
      <c r="I22" s="3">
        <f>Table1[[#This Row],[Sales]]/Table1[[#This Row],[Qty]]</f>
        <v>250</v>
      </c>
    </row>
    <row r="23" spans="1:9">
      <c r="A23" s="3" t="s">
        <v>71</v>
      </c>
      <c r="B23" s="13">
        <v>45679</v>
      </c>
      <c r="C23" s="3" t="s">
        <v>72</v>
      </c>
      <c r="D23" s="3" t="s">
        <v>73</v>
      </c>
      <c r="E23" s="3">
        <v>1</v>
      </c>
      <c r="F23" s="3">
        <v>38000</v>
      </c>
      <c r="G23" s="3">
        <f>Table1[[#This Row],[Sales]]-(Table1[[#This Row],[Qty]]*_xlfn.XLOOKUP(Table1[[#This Row],[ProductID]],Dim_Product[[#This Row],[ProductID]],Dim_Product[[#This Row],[Cost Price]]))</f>
        <v>8000</v>
      </c>
      <c r="H23" s="4">
        <f>Table1[[#This Row],[profit]]/Table1[[#This Row],[Sales]]</f>
        <v>0.21052631578947367</v>
      </c>
      <c r="I23" s="3">
        <f>Table1[[#This Row],[Sales]]/Table1[[#This Row],[Qty]]</f>
        <v>38000</v>
      </c>
    </row>
    <row r="24" spans="1:9">
      <c r="A24" s="3" t="s">
        <v>74</v>
      </c>
      <c r="B24" s="13">
        <v>45680</v>
      </c>
      <c r="C24" s="3" t="s">
        <v>75</v>
      </c>
      <c r="D24" s="3" t="s">
        <v>76</v>
      </c>
      <c r="E24" s="3">
        <v>2</v>
      </c>
      <c r="F24" s="3">
        <v>6000</v>
      </c>
      <c r="G24" s="3">
        <f>Table1[[#This Row],[Sales]]-(Table1[[#This Row],[Qty]]*_xlfn.XLOOKUP(Table1[[#This Row],[ProductID]],Dim_Product[[#This Row],[ProductID]],Dim_Product[[#This Row],[Cost Price]]))</f>
        <v>1000</v>
      </c>
      <c r="H24" s="4">
        <f>Table1[[#This Row],[profit]]/Table1[[#This Row],[Sales]]</f>
        <v>0.16666666666666666</v>
      </c>
      <c r="I24" s="3">
        <f>Table1[[#This Row],[Sales]]/Table1[[#This Row],[Qty]]</f>
        <v>3000</v>
      </c>
    </row>
    <row r="25" spans="1:9">
      <c r="A25" s="3" t="s">
        <v>77</v>
      </c>
      <c r="B25" s="13">
        <v>45681</v>
      </c>
      <c r="C25" s="3" t="s">
        <v>78</v>
      </c>
      <c r="D25" s="3" t="s">
        <v>79</v>
      </c>
      <c r="E25" s="3">
        <v>2</v>
      </c>
      <c r="F25" s="3">
        <v>12000</v>
      </c>
      <c r="G25" s="3">
        <f>Table1[[#This Row],[Sales]]-(Table1[[#This Row],[Qty]]*_xlfn.XLOOKUP(Table1[[#This Row],[ProductID]],Dim_Product[[#This Row],[ProductID]],Dim_Product[[#This Row],[Cost Price]]))</f>
        <v>2000</v>
      </c>
      <c r="H25" s="4">
        <f>Table1[[#This Row],[profit]]/Table1[[#This Row],[Sales]]</f>
        <v>0.16666666666666666</v>
      </c>
      <c r="I25" s="3">
        <f>Table1[[#This Row],[Sales]]/Table1[[#This Row],[Qty]]</f>
        <v>6000</v>
      </c>
    </row>
    <row r="26" spans="1:9">
      <c r="A26" s="3" t="s">
        <v>80</v>
      </c>
      <c r="B26" s="13">
        <v>45682</v>
      </c>
      <c r="C26" s="3" t="s">
        <v>75</v>
      </c>
      <c r="D26" s="3" t="s">
        <v>81</v>
      </c>
      <c r="E26" s="3">
        <v>20</v>
      </c>
      <c r="F26" s="3">
        <v>2000</v>
      </c>
      <c r="G26" s="3">
        <f>Table1[[#This Row],[Sales]]-(Table1[[#This Row],[Qty]]*_xlfn.XLOOKUP(Table1[[#This Row],[ProductID]],Dim_Product[[#This Row],[ProductID]],Dim_Product[[#This Row],[Cost Price]]))</f>
        <v>400</v>
      </c>
      <c r="H26" s="4">
        <f>Table1[[#This Row],[profit]]/Table1[[#This Row],[Sales]]</f>
        <v>0.2</v>
      </c>
      <c r="I26" s="3">
        <f>Table1[[#This Row],[Sales]]/Table1[[#This Row],[Qty]]</f>
        <v>100</v>
      </c>
    </row>
    <row r="27" spans="1:9">
      <c r="A27" s="3" t="s">
        <v>82</v>
      </c>
      <c r="B27" s="13">
        <v>45683</v>
      </c>
      <c r="C27" s="3" t="s">
        <v>55</v>
      </c>
      <c r="D27" s="3" t="s">
        <v>83</v>
      </c>
      <c r="E27" s="3">
        <v>10</v>
      </c>
      <c r="F27" s="3">
        <v>1800</v>
      </c>
      <c r="G27" s="3">
        <f>Table1[[#This Row],[Sales]]-(Table1[[#This Row],[Qty]]*_xlfn.XLOOKUP(Table1[[#This Row],[ProductID]],Dim_Product[[#This Row],[ProductID]],Dim_Product[[#This Row],[Cost Price]]))</f>
        <v>600</v>
      </c>
      <c r="H27" s="4">
        <f>Table1[[#This Row],[profit]]/Table1[[#This Row],[Sales]]</f>
        <v>0.33333333333333331</v>
      </c>
      <c r="I27" s="3">
        <f>Table1[[#This Row],[Sales]]/Table1[[#This Row],[Qty]]</f>
        <v>180</v>
      </c>
    </row>
    <row r="28" spans="1:9">
      <c r="A28" s="3" t="s">
        <v>84</v>
      </c>
      <c r="B28" s="13">
        <v>45684</v>
      </c>
      <c r="C28" s="3" t="s">
        <v>85</v>
      </c>
      <c r="D28" s="3" t="s">
        <v>86</v>
      </c>
      <c r="E28" s="3">
        <v>1</v>
      </c>
      <c r="F28" s="3">
        <v>15000</v>
      </c>
      <c r="G28" s="3">
        <f>Table1[[#This Row],[Sales]]-(Table1[[#This Row],[Qty]]*_xlfn.XLOOKUP(Table1[[#This Row],[ProductID]],Dim_Product[[#This Row],[ProductID]],Dim_Product[[#This Row],[Cost Price]]))</f>
        <v>3000</v>
      </c>
      <c r="H28" s="4">
        <f>Table1[[#This Row],[profit]]/Table1[[#This Row],[Sales]]</f>
        <v>0.2</v>
      </c>
      <c r="I28" s="3">
        <f>Table1[[#This Row],[Sales]]/Table1[[#This Row],[Qty]]</f>
        <v>15000</v>
      </c>
    </row>
    <row r="29" spans="1:9">
      <c r="A29" s="3" t="s">
        <v>87</v>
      </c>
      <c r="B29" s="13">
        <v>45685</v>
      </c>
      <c r="C29" s="3" t="s">
        <v>88</v>
      </c>
      <c r="D29" s="3" t="s">
        <v>89</v>
      </c>
      <c r="E29" s="3">
        <v>1</v>
      </c>
      <c r="F29" s="3">
        <v>8000</v>
      </c>
      <c r="G29" s="3">
        <f>Table1[[#This Row],[Sales]]-(Table1[[#This Row],[Qty]]*_xlfn.XLOOKUP(Table1[[#This Row],[ProductID]],Dim_Product[[#This Row],[ProductID]],Dim_Product[[#This Row],[Cost Price]]))</f>
        <v>2000</v>
      </c>
      <c r="H29" s="4">
        <f>Table1[[#This Row],[profit]]/Table1[[#This Row],[Sales]]</f>
        <v>0.25</v>
      </c>
      <c r="I29" s="3">
        <f>Table1[[#This Row],[Sales]]/Table1[[#This Row],[Qty]]</f>
        <v>8000</v>
      </c>
    </row>
    <row r="30" spans="1:9">
      <c r="A30" s="3" t="s">
        <v>90</v>
      </c>
      <c r="B30" s="13">
        <v>45686</v>
      </c>
      <c r="C30" s="3" t="s">
        <v>75</v>
      </c>
      <c r="D30" s="3" t="s">
        <v>91</v>
      </c>
      <c r="E30" s="3">
        <v>1</v>
      </c>
      <c r="F30" s="3">
        <v>45000</v>
      </c>
      <c r="G30" s="3">
        <f>Table1[[#This Row],[Sales]]-(Table1[[#This Row],[Qty]]*_xlfn.XLOOKUP(Table1[[#This Row],[ProductID]],Dim_Product[[#This Row],[ProductID]],Dim_Product[[#This Row],[Cost Price]]))</f>
        <v>10000</v>
      </c>
      <c r="H30" s="4">
        <f>Table1[[#This Row],[profit]]/Table1[[#This Row],[Sales]]</f>
        <v>0.22222222222222221</v>
      </c>
      <c r="I30" s="3">
        <f>Table1[[#This Row],[Sales]]/Table1[[#This Row],[Qty]]</f>
        <v>45000</v>
      </c>
    </row>
    <row r="31" spans="1:9">
      <c r="A31" s="3" t="s">
        <v>92</v>
      </c>
      <c r="B31" s="13">
        <v>45687</v>
      </c>
      <c r="C31" s="3" t="s">
        <v>93</v>
      </c>
      <c r="D31" s="3" t="s">
        <v>94</v>
      </c>
      <c r="E31" s="3">
        <v>2</v>
      </c>
      <c r="F31" s="3">
        <v>7000</v>
      </c>
      <c r="G31" s="3">
        <f>Table1[[#This Row],[Sales]]-(Table1[[#This Row],[Qty]]*_xlfn.XLOOKUP(Table1[[#This Row],[ProductID]],Dim_Product[[#This Row],[ProductID]],Dim_Product[[#This Row],[Cost Price]]))</f>
        <v>1000</v>
      </c>
      <c r="H31" s="4">
        <f>Table1[[#This Row],[profit]]/Table1[[#This Row],[Sales]]</f>
        <v>0.14285714285714285</v>
      </c>
      <c r="I31" s="3">
        <f>Table1[[#This Row],[Sales]]/Table1[[#This Row],[Qty]]</f>
        <v>3500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9D3A3-361E-4D78-A7F6-C0E135DBAA12}">
  <dimension ref="A1:E31"/>
  <sheetViews>
    <sheetView zoomScale="107" workbookViewId="0">
      <pane xSplit="17" topLeftCell="R1" activePane="topRight" state="frozen"/>
      <selection pane="topRight" activeCell="G15" sqref="G15"/>
    </sheetView>
  </sheetViews>
  <sheetFormatPr defaultColWidth="9.140625" defaultRowHeight="15"/>
  <cols>
    <col min="1" max="3" width="11.42578125" bestFit="1" customWidth="1"/>
  </cols>
  <sheetData>
    <row r="1" spans="1:5" ht="45">
      <c r="A1" s="1" t="s">
        <v>6</v>
      </c>
      <c r="B1" s="1" t="s">
        <v>95</v>
      </c>
      <c r="C1" s="1" t="s">
        <v>96</v>
      </c>
      <c r="D1" s="1" t="s">
        <v>97</v>
      </c>
      <c r="E1" s="1" t="s">
        <v>98</v>
      </c>
    </row>
    <row r="2" spans="1:5" ht="24.75" customHeight="1">
      <c r="A2" s="3" t="s">
        <v>14</v>
      </c>
      <c r="B2" s="3">
        <v>20</v>
      </c>
      <c r="C2" s="3">
        <v>10</v>
      </c>
      <c r="D2" s="3" t="str">
        <f>IF(Dim_Inventory[[#This Row],[Current Stock]]&lt;Dim_Inventory[[#This Row],[Reorder Level]],"Reorder","Ok")</f>
        <v>Ok</v>
      </c>
      <c r="E2" s="3" t="str">
        <f>IF(Dim_Inventory[[#This Row],[Current Stock]]=0,"Dead Stock","present")</f>
        <v>present</v>
      </c>
    </row>
    <row r="3" spans="1:5">
      <c r="A3" s="3" t="s">
        <v>17</v>
      </c>
      <c r="B3" s="3">
        <v>15</v>
      </c>
      <c r="C3" s="3">
        <v>10</v>
      </c>
      <c r="D3" s="3" t="str">
        <f>IF(Dim_Inventory[[#This Row],[Current Stock]]&lt;Dim_Inventory[[#This Row],[Reorder Level]],"Reorder","Ok")</f>
        <v>Ok</v>
      </c>
      <c r="E3" s="3" t="str">
        <f>IF(Dim_Inventory[[#This Row],[Current Stock]]=0,"Dead Stock","present")</f>
        <v>present</v>
      </c>
    </row>
    <row r="4" spans="1:5">
      <c r="A4" s="3" t="s">
        <v>20</v>
      </c>
      <c r="B4" s="3">
        <v>100</v>
      </c>
      <c r="C4" s="3">
        <v>20</v>
      </c>
      <c r="D4" s="3" t="str">
        <f>IF(Dim_Inventory[[#This Row],[Current Stock]]&lt;Dim_Inventory[[#This Row],[Reorder Level]],"Reorder","Ok")</f>
        <v>Ok</v>
      </c>
      <c r="E4" s="3" t="str">
        <f>IF(Dim_Inventory[[#This Row],[Current Stock]]=0,"Dead Stock","present")</f>
        <v>present</v>
      </c>
    </row>
    <row r="5" spans="1:5">
      <c r="A5" s="3" t="s">
        <v>23</v>
      </c>
      <c r="B5" s="3">
        <v>150</v>
      </c>
      <c r="C5" s="3">
        <v>25</v>
      </c>
      <c r="D5" s="3" t="str">
        <f>IF(Dim_Inventory[[#This Row],[Current Stock]]&lt;Dim_Inventory[[#This Row],[Reorder Level]],"Reorder","Ok")</f>
        <v>Ok</v>
      </c>
      <c r="E5" s="3" t="str">
        <f>IF(Dim_Inventory[[#This Row],[Current Stock]]=0,"Dead Stock","present")</f>
        <v>present</v>
      </c>
    </row>
    <row r="6" spans="1:5">
      <c r="A6" s="3" t="s">
        <v>26</v>
      </c>
      <c r="B6" s="3">
        <v>8</v>
      </c>
      <c r="C6" s="3">
        <v>10</v>
      </c>
      <c r="D6" s="3" t="str">
        <f>IF(Dim_Inventory[[#This Row],[Current Stock]]&lt;Dim_Inventory[[#This Row],[Reorder Level]],"Reorder","Ok")</f>
        <v>Reorder</v>
      </c>
      <c r="E6" s="3" t="str">
        <f>IF(Dim_Inventory[[#This Row],[Current Stock]]=0,"Dead Stock","present")</f>
        <v>present</v>
      </c>
    </row>
    <row r="7" spans="1:5">
      <c r="A7" s="3" t="s">
        <v>28</v>
      </c>
      <c r="B7" s="3">
        <v>30</v>
      </c>
      <c r="C7" s="3">
        <v>10</v>
      </c>
      <c r="D7" s="3" t="str">
        <f>IF(Dim_Inventory[[#This Row],[Current Stock]]&lt;Dim_Inventory[[#This Row],[Reorder Level]],"Reorder","Ok")</f>
        <v>Ok</v>
      </c>
      <c r="E7" s="3" t="str">
        <f>IF(Dim_Inventory[[#This Row],[Current Stock]]=0,"Dead Stock","present")</f>
        <v>present</v>
      </c>
    </row>
    <row r="8" spans="1:5">
      <c r="A8" s="3" t="s">
        <v>31</v>
      </c>
      <c r="B8" s="3">
        <v>40</v>
      </c>
      <c r="C8" s="3">
        <v>15</v>
      </c>
      <c r="D8" s="3" t="str">
        <f>IF(Dim_Inventory[[#This Row],[Current Stock]]&lt;Dim_Inventory[[#This Row],[Reorder Level]],"Reorder","Ok")</f>
        <v>Ok</v>
      </c>
      <c r="E8" s="3" t="str">
        <f>IF(Dim_Inventory[[#This Row],[Current Stock]]=0,"Dead Stock","present")</f>
        <v>present</v>
      </c>
    </row>
    <row r="9" spans="1:5">
      <c r="A9" s="3" t="s">
        <v>34</v>
      </c>
      <c r="B9" s="3">
        <v>12</v>
      </c>
      <c r="C9" s="3">
        <v>10</v>
      </c>
      <c r="D9" s="3" t="str">
        <f>IF(Dim_Inventory[[#This Row],[Current Stock]]&lt;Dim_Inventory[[#This Row],[Reorder Level]],"Reorder","Ok")</f>
        <v>Ok</v>
      </c>
      <c r="E9" s="3" t="str">
        <f>IF(Dim_Inventory[[#This Row],[Current Stock]]=0,"Dead Stock","present")</f>
        <v>present</v>
      </c>
    </row>
    <row r="10" spans="1:5">
      <c r="A10" s="3" t="s">
        <v>36</v>
      </c>
      <c r="B10" s="3">
        <v>25</v>
      </c>
      <c r="C10" s="3">
        <v>15</v>
      </c>
      <c r="D10" s="3" t="str">
        <f>IF(Dim_Inventory[[#This Row],[Current Stock]]&lt;Dim_Inventory[[#This Row],[Reorder Level]],"Reorder","Ok")</f>
        <v>Ok</v>
      </c>
      <c r="E10" s="3" t="str">
        <f>IF(Dim_Inventory[[#This Row],[Current Stock]]=0,"Dead Stock","present")</f>
        <v>present</v>
      </c>
    </row>
    <row r="11" spans="1:5">
      <c r="A11" s="3" t="s">
        <v>39</v>
      </c>
      <c r="B11" s="3">
        <v>200</v>
      </c>
      <c r="C11" s="3">
        <v>50</v>
      </c>
      <c r="D11" s="3" t="str">
        <f>IF(Dim_Inventory[[#This Row],[Current Stock]]&lt;Dim_Inventory[[#This Row],[Reorder Level]],"Reorder","Ok")</f>
        <v>Ok</v>
      </c>
      <c r="E11" s="3" t="str">
        <f>IF(Dim_Inventory[[#This Row],[Current Stock]]=0,"Dead Stock","present")</f>
        <v>present</v>
      </c>
    </row>
    <row r="12" spans="1:5">
      <c r="A12" s="3" t="s">
        <v>42</v>
      </c>
      <c r="B12" s="3">
        <v>250</v>
      </c>
      <c r="C12" s="3">
        <v>50</v>
      </c>
      <c r="D12" s="3" t="str">
        <f>IF(Dim_Inventory[[#This Row],[Current Stock]]&lt;Dim_Inventory[[#This Row],[Reorder Level]],"Reorder","Ok")</f>
        <v>Ok</v>
      </c>
      <c r="E12" s="3" t="str">
        <f>IF(Dim_Inventory[[#This Row],[Current Stock]]=0,"Dead Stock","present")</f>
        <v>present</v>
      </c>
    </row>
    <row r="13" spans="1:5">
      <c r="A13" s="3" t="s">
        <v>45</v>
      </c>
      <c r="B13" s="3">
        <v>60</v>
      </c>
      <c r="C13" s="3">
        <v>20</v>
      </c>
      <c r="D13" s="3" t="str">
        <f>IF(Dim_Inventory[[#This Row],[Current Stock]]&lt;Dim_Inventory[[#This Row],[Reorder Level]],"Reorder","Ok")</f>
        <v>Ok</v>
      </c>
      <c r="E13" s="3" t="str">
        <f>IF(Dim_Inventory[[#This Row],[Current Stock]]=0,"Dead Stock","present")</f>
        <v>present</v>
      </c>
    </row>
    <row r="14" spans="1:5">
      <c r="A14" s="3" t="s">
        <v>48</v>
      </c>
      <c r="B14" s="3">
        <v>18</v>
      </c>
      <c r="C14" s="3">
        <v>10</v>
      </c>
      <c r="D14" s="3" t="str">
        <f>IF(Dim_Inventory[[#This Row],[Current Stock]]&lt;Dim_Inventory[[#This Row],[Reorder Level]],"Reorder","Ok")</f>
        <v>Ok</v>
      </c>
      <c r="E14" s="3" t="str">
        <f>IF(Dim_Inventory[[#This Row],[Current Stock]]=0,"Dead Stock","present")</f>
        <v>present</v>
      </c>
    </row>
    <row r="15" spans="1:5">
      <c r="A15" s="3" t="s">
        <v>51</v>
      </c>
      <c r="B15" s="3">
        <v>35</v>
      </c>
      <c r="C15" s="3">
        <v>15</v>
      </c>
      <c r="D15" s="3" t="str">
        <f>IF(Dim_Inventory[[#This Row],[Current Stock]]&lt;Dim_Inventory[[#This Row],[Reorder Level]],"Reorder","Ok")</f>
        <v>Ok</v>
      </c>
      <c r="E15" s="3" t="str">
        <f>IF(Dim_Inventory[[#This Row],[Current Stock]]=0,"Dead Stock","present")</f>
        <v>present</v>
      </c>
    </row>
    <row r="16" spans="1:5">
      <c r="A16" s="3" t="s">
        <v>53</v>
      </c>
      <c r="B16" s="3">
        <v>50</v>
      </c>
      <c r="C16" s="3">
        <v>20</v>
      </c>
      <c r="D16" s="3" t="str">
        <f>IF(Dim_Inventory[[#This Row],[Current Stock]]&lt;Dim_Inventory[[#This Row],[Reorder Level]],"Reorder","Ok")</f>
        <v>Ok</v>
      </c>
      <c r="E16" s="3" t="str">
        <f>IF(Dim_Inventory[[#This Row],[Current Stock]]=0,"Dead Stock","present")</f>
        <v>present</v>
      </c>
    </row>
    <row r="17" spans="1:5">
      <c r="A17" s="3" t="s">
        <v>56</v>
      </c>
      <c r="B17" s="3">
        <v>10</v>
      </c>
      <c r="C17" s="3">
        <v>10</v>
      </c>
      <c r="D17" s="3" t="str">
        <f>IF(Dim_Inventory[[#This Row],[Current Stock]]&lt;Dim_Inventory[[#This Row],[Reorder Level]],"Reorder","Ok")</f>
        <v>Ok</v>
      </c>
      <c r="E17" s="3" t="str">
        <f>IF(Dim_Inventory[[#This Row],[Current Stock]]=0,"Dead Stock","present")</f>
        <v>present</v>
      </c>
    </row>
    <row r="18" spans="1:5">
      <c r="A18" s="3" t="s">
        <v>59</v>
      </c>
      <c r="B18" s="3">
        <v>5</v>
      </c>
      <c r="C18" s="3">
        <v>5</v>
      </c>
      <c r="D18" s="3" t="str">
        <f>IF(Dim_Inventory[[#This Row],[Current Stock]]&lt;Dim_Inventory[[#This Row],[Reorder Level]],"Reorder","Ok")</f>
        <v>Ok</v>
      </c>
      <c r="E18" s="3" t="str">
        <f>IF(Dim_Inventory[[#This Row],[Current Stock]]=0,"Dead Stock","present")</f>
        <v>present</v>
      </c>
    </row>
    <row r="19" spans="1:5">
      <c r="A19" s="3" t="s">
        <v>62</v>
      </c>
      <c r="B19" s="3">
        <v>75</v>
      </c>
      <c r="C19" s="3">
        <v>20</v>
      </c>
      <c r="D19" s="3" t="str">
        <f>IF(Dim_Inventory[[#This Row],[Current Stock]]&lt;Dim_Inventory[[#This Row],[Reorder Level]],"Reorder","Ok")</f>
        <v>Ok</v>
      </c>
      <c r="E19" s="3" t="str">
        <f>IF(Dim_Inventory[[#This Row],[Current Stock]]=0,"Dead Stock","present")</f>
        <v>present</v>
      </c>
    </row>
    <row r="20" spans="1:5">
      <c r="A20" s="3" t="s">
        <v>64</v>
      </c>
      <c r="B20" s="3">
        <v>9</v>
      </c>
      <c r="C20" s="3">
        <v>10</v>
      </c>
      <c r="D20" s="3" t="str">
        <f>IF(Dim_Inventory[[#This Row],[Current Stock]]&lt;Dim_Inventory[[#This Row],[Reorder Level]],"Reorder","Ok")</f>
        <v>Reorder</v>
      </c>
      <c r="E20" s="3" t="str">
        <f>IF(Dim_Inventory[[#This Row],[Current Stock]]=0,"Dead Stock","present")</f>
        <v>present</v>
      </c>
    </row>
    <row r="21" spans="1:5">
      <c r="A21" s="3" t="s">
        <v>67</v>
      </c>
      <c r="B21" s="3">
        <v>300</v>
      </c>
      <c r="C21" s="3">
        <v>100</v>
      </c>
      <c r="D21" s="3" t="str">
        <f>IF(Dim_Inventory[[#This Row],[Current Stock]]&lt;Dim_Inventory[[#This Row],[Reorder Level]],"Reorder","Ok")</f>
        <v>Ok</v>
      </c>
      <c r="E21" s="3" t="str">
        <f>IF(Dim_Inventory[[#This Row],[Current Stock]]=0,"Dead Stock","present")</f>
        <v>present</v>
      </c>
    </row>
    <row r="22" spans="1:5">
      <c r="A22" s="3" t="s">
        <v>70</v>
      </c>
      <c r="B22" s="3">
        <v>180</v>
      </c>
      <c r="C22" s="3">
        <v>50</v>
      </c>
      <c r="D22" s="3" t="str">
        <f>IF(Dim_Inventory[[#This Row],[Current Stock]]&lt;Dim_Inventory[[#This Row],[Reorder Level]],"Reorder","Ok")</f>
        <v>Ok</v>
      </c>
      <c r="E22" s="3" t="str">
        <f>IF(Dim_Inventory[[#This Row],[Current Stock]]=0,"Dead Stock","present")</f>
        <v>present</v>
      </c>
    </row>
    <row r="23" spans="1:5">
      <c r="A23" s="3" t="s">
        <v>73</v>
      </c>
      <c r="B23" s="3">
        <v>7</v>
      </c>
      <c r="C23" s="3">
        <v>10</v>
      </c>
      <c r="D23" s="3" t="str">
        <f>IF(Dim_Inventory[[#This Row],[Current Stock]]&lt;Dim_Inventory[[#This Row],[Reorder Level]],"Reorder","Ok")</f>
        <v>Reorder</v>
      </c>
      <c r="E23" s="3" t="str">
        <f>IF(Dim_Inventory[[#This Row],[Current Stock]]=0,"Dead Stock","present")</f>
        <v>present</v>
      </c>
    </row>
    <row r="24" spans="1:5">
      <c r="A24" s="3" t="s">
        <v>76</v>
      </c>
      <c r="B24" s="3">
        <v>40</v>
      </c>
      <c r="C24" s="3">
        <v>20</v>
      </c>
      <c r="D24" s="3" t="str">
        <f>IF(Dim_Inventory[[#This Row],[Current Stock]]&lt;Dim_Inventory[[#This Row],[Reorder Level]],"Reorder","Ok")</f>
        <v>Ok</v>
      </c>
      <c r="E24" s="3" t="str">
        <f>IF(Dim_Inventory[[#This Row],[Current Stock]]=0,"Dead Stock","present")</f>
        <v>present</v>
      </c>
    </row>
    <row r="25" spans="1:5">
      <c r="A25" s="3" t="s">
        <v>79</v>
      </c>
      <c r="B25" s="3">
        <v>25</v>
      </c>
      <c r="C25" s="3">
        <v>15</v>
      </c>
      <c r="D25" s="3" t="str">
        <f>IF(Dim_Inventory[[#This Row],[Current Stock]]&lt;Dim_Inventory[[#This Row],[Reorder Level]],"Reorder","Ok")</f>
        <v>Ok</v>
      </c>
      <c r="E25" s="3" t="str">
        <f>IF(Dim_Inventory[[#This Row],[Current Stock]]=0,"Dead Stock","present")</f>
        <v>present</v>
      </c>
    </row>
    <row r="26" spans="1:5">
      <c r="A26" s="3" t="s">
        <v>81</v>
      </c>
      <c r="B26" s="3">
        <v>350</v>
      </c>
      <c r="C26" s="3">
        <v>100</v>
      </c>
      <c r="D26" s="3" t="str">
        <f>IF(Dim_Inventory[[#This Row],[Current Stock]]&lt;Dim_Inventory[[#This Row],[Reorder Level]],"Reorder","Ok")</f>
        <v>Ok</v>
      </c>
      <c r="E26" s="3" t="str">
        <f>IF(Dim_Inventory[[#This Row],[Current Stock]]=0,"Dead Stock","present")</f>
        <v>present</v>
      </c>
    </row>
    <row r="27" spans="1:5">
      <c r="A27" s="3" t="s">
        <v>83</v>
      </c>
      <c r="B27" s="3">
        <v>280</v>
      </c>
      <c r="C27" s="3">
        <v>100</v>
      </c>
      <c r="D27" s="3" t="str">
        <f>IF(Dim_Inventory[[#This Row],[Current Stock]]&lt;Dim_Inventory[[#This Row],[Reorder Level]],"Reorder","Ok")</f>
        <v>Ok</v>
      </c>
      <c r="E27" s="3" t="str">
        <f>IF(Dim_Inventory[[#This Row],[Current Stock]]=0,"Dead Stock","present")</f>
        <v>present</v>
      </c>
    </row>
    <row r="28" spans="1:5">
      <c r="A28" s="3" t="s">
        <v>86</v>
      </c>
      <c r="B28" s="3">
        <v>6</v>
      </c>
      <c r="C28" s="3">
        <v>10</v>
      </c>
      <c r="D28" s="3" t="str">
        <f>IF(Dim_Inventory[[#This Row],[Current Stock]]&lt;Dim_Inventory[[#This Row],[Reorder Level]],"Reorder","Ok")</f>
        <v>Reorder</v>
      </c>
      <c r="E28" s="3" t="str">
        <f>IF(Dim_Inventory[[#This Row],[Current Stock]]=0,"Dead Stock","present")</f>
        <v>present</v>
      </c>
    </row>
    <row r="29" spans="1:5">
      <c r="A29" s="3" t="s">
        <v>89</v>
      </c>
      <c r="B29" s="3">
        <v>15</v>
      </c>
      <c r="C29" s="3">
        <v>10</v>
      </c>
      <c r="D29" s="3" t="str">
        <f>IF(Dim_Inventory[[#This Row],[Current Stock]]&lt;Dim_Inventory[[#This Row],[Reorder Level]],"Reorder","Ok")</f>
        <v>Ok</v>
      </c>
      <c r="E29" s="3" t="str">
        <f>IF(Dim_Inventory[[#This Row],[Current Stock]]=0,"Dead Stock","present")</f>
        <v>present</v>
      </c>
    </row>
    <row r="30" spans="1:5">
      <c r="A30" s="3" t="s">
        <v>91</v>
      </c>
      <c r="B30" s="3">
        <v>4</v>
      </c>
      <c r="C30" s="3">
        <v>5</v>
      </c>
      <c r="D30" s="3" t="str">
        <f>IF(Dim_Inventory[[#This Row],[Current Stock]]&lt;Dim_Inventory[[#This Row],[Reorder Level]],"Reorder","Ok")</f>
        <v>Reorder</v>
      </c>
      <c r="E30" s="3" t="str">
        <f>IF(Dim_Inventory[[#This Row],[Current Stock]]=0,"Dead Stock","present")</f>
        <v>present</v>
      </c>
    </row>
    <row r="31" spans="1:5">
      <c r="A31" s="3" t="s">
        <v>94</v>
      </c>
      <c r="B31" s="3">
        <v>30</v>
      </c>
      <c r="C31" s="3">
        <v>15</v>
      </c>
      <c r="D31" s="3" t="str">
        <f>IF(Dim_Inventory[[#This Row],[Current Stock]]&lt;Dim_Inventory[[#This Row],[Reorder Level]],"Reorder","Ok")</f>
        <v>Ok</v>
      </c>
      <c r="E31" s="3" t="str">
        <f>IF(Dim_Inventory[[#This Row],[Current Stock]]=0,"Dead Stock","present")</f>
        <v>present</v>
      </c>
    </row>
  </sheetData>
  <conditionalFormatting sqref="D2:D31">
    <cfRule type="containsText" dxfId="24" priority="1" operator="containsText" text="Reorder">
      <formula>NOT(ISERROR(SEARCH("Reorder",D2)))</formula>
    </cfRule>
    <cfRule type="containsText" dxfId="23" priority="3" operator="containsText" text="Ok">
      <formula>NOT(ISERROR(SEARCH("Ok",D2)))</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CC98-1BF8-4921-9035-2A6C35531343}">
  <dimension ref="A1:D31"/>
  <sheetViews>
    <sheetView zoomScale="130" zoomScaleNormal="130" workbookViewId="0">
      <selection activeCell="F11" sqref="F11"/>
    </sheetView>
  </sheetViews>
  <sheetFormatPr defaultRowHeight="15"/>
  <cols>
    <col min="1" max="2" width="11.42578125" bestFit="1" customWidth="1"/>
    <col min="3" max="3" width="11.140625" bestFit="1" customWidth="1"/>
    <col min="4" max="4" width="11.42578125" bestFit="1" customWidth="1"/>
  </cols>
  <sheetData>
    <row r="1" spans="1:4" ht="30">
      <c r="A1" s="1" t="s">
        <v>6</v>
      </c>
      <c r="B1" s="1" t="s">
        <v>99</v>
      </c>
      <c r="C1" s="1" t="s">
        <v>100</v>
      </c>
      <c r="D1" s="1" t="s">
        <v>101</v>
      </c>
    </row>
    <row r="2" spans="1:4">
      <c r="A2" s="3" t="s">
        <v>14</v>
      </c>
      <c r="B2" s="3" t="s">
        <v>102</v>
      </c>
      <c r="C2" s="3" t="s">
        <v>103</v>
      </c>
      <c r="D2" s="3">
        <v>40000</v>
      </c>
    </row>
    <row r="3" spans="1:4">
      <c r="A3" s="3" t="s">
        <v>17</v>
      </c>
      <c r="B3" s="3" t="s">
        <v>104</v>
      </c>
      <c r="C3" s="3" t="s">
        <v>103</v>
      </c>
      <c r="D3" s="3">
        <v>12000</v>
      </c>
    </row>
    <row r="4" spans="1:4">
      <c r="A4" s="3" t="s">
        <v>20</v>
      </c>
      <c r="B4" s="3" t="s">
        <v>105</v>
      </c>
      <c r="C4" s="3" t="s">
        <v>103</v>
      </c>
      <c r="D4" s="3">
        <v>1000</v>
      </c>
    </row>
    <row r="5" spans="1:4">
      <c r="A5" s="3" t="s">
        <v>23</v>
      </c>
      <c r="B5" s="3" t="s">
        <v>106</v>
      </c>
      <c r="C5" s="3" t="s">
        <v>103</v>
      </c>
      <c r="D5" s="3">
        <v>500</v>
      </c>
    </row>
    <row r="6" spans="1:4">
      <c r="A6" s="3" t="s">
        <v>26</v>
      </c>
      <c r="B6" s="3" t="s">
        <v>107</v>
      </c>
      <c r="C6" s="3" t="s">
        <v>103</v>
      </c>
      <c r="D6" s="3">
        <v>15000</v>
      </c>
    </row>
    <row r="7" spans="1:4">
      <c r="A7" s="3" t="s">
        <v>28</v>
      </c>
      <c r="B7" s="3" t="s">
        <v>108</v>
      </c>
      <c r="C7" s="3" t="s">
        <v>109</v>
      </c>
      <c r="D7" s="3">
        <v>5000</v>
      </c>
    </row>
    <row r="8" spans="1:4">
      <c r="A8" s="3" t="s">
        <v>31</v>
      </c>
      <c r="B8" s="3" t="s">
        <v>110</v>
      </c>
      <c r="C8" s="3" t="s">
        <v>109</v>
      </c>
      <c r="D8" s="3">
        <v>2500</v>
      </c>
    </row>
    <row r="9" spans="1:4">
      <c r="A9" s="3" t="s">
        <v>34</v>
      </c>
      <c r="B9" s="3" t="s">
        <v>111</v>
      </c>
      <c r="C9" s="3" t="s">
        <v>109</v>
      </c>
      <c r="D9" s="3">
        <v>4500</v>
      </c>
    </row>
    <row r="10" spans="1:4" ht="30">
      <c r="A10" s="3" t="s">
        <v>36</v>
      </c>
      <c r="B10" s="3" t="s">
        <v>112</v>
      </c>
      <c r="C10" s="3" t="s">
        <v>113</v>
      </c>
      <c r="D10" s="3">
        <v>3000</v>
      </c>
    </row>
    <row r="11" spans="1:4" ht="30">
      <c r="A11" s="3" t="s">
        <v>39</v>
      </c>
      <c r="B11" s="3" t="s">
        <v>114</v>
      </c>
      <c r="C11" s="3" t="s">
        <v>113</v>
      </c>
      <c r="D11" s="3">
        <v>100</v>
      </c>
    </row>
    <row r="12" spans="1:4" ht="30">
      <c r="A12" s="3" t="s">
        <v>42</v>
      </c>
      <c r="B12" s="3" t="s">
        <v>115</v>
      </c>
      <c r="C12" s="3" t="s">
        <v>113</v>
      </c>
      <c r="D12" s="3">
        <v>50</v>
      </c>
    </row>
    <row r="13" spans="1:4" ht="30">
      <c r="A13" s="3" t="s">
        <v>45</v>
      </c>
      <c r="B13" s="3" t="s">
        <v>116</v>
      </c>
      <c r="C13" s="3" t="s">
        <v>113</v>
      </c>
      <c r="D13" s="3">
        <v>600</v>
      </c>
    </row>
    <row r="14" spans="1:4">
      <c r="A14" s="3" t="s">
        <v>48</v>
      </c>
      <c r="B14" s="3" t="s">
        <v>117</v>
      </c>
      <c r="C14" s="3" t="s">
        <v>103</v>
      </c>
      <c r="D14" s="3">
        <v>8000</v>
      </c>
    </row>
    <row r="15" spans="1:4">
      <c r="A15" s="3" t="s">
        <v>51</v>
      </c>
      <c r="B15" s="3" t="s">
        <v>118</v>
      </c>
      <c r="C15" s="3" t="s">
        <v>103</v>
      </c>
      <c r="D15" s="3">
        <v>2000</v>
      </c>
    </row>
    <row r="16" spans="1:4" ht="30">
      <c r="A16" s="3" t="s">
        <v>53</v>
      </c>
      <c r="B16" s="3" t="s">
        <v>119</v>
      </c>
      <c r="C16" s="3" t="s">
        <v>103</v>
      </c>
      <c r="D16" s="3">
        <v>2500</v>
      </c>
    </row>
    <row r="17" spans="1:4">
      <c r="A17" s="3" t="s">
        <v>56</v>
      </c>
      <c r="B17" s="3" t="s">
        <v>120</v>
      </c>
      <c r="C17" s="3" t="s">
        <v>103</v>
      </c>
      <c r="D17" s="3">
        <v>18000</v>
      </c>
    </row>
    <row r="18" spans="1:4">
      <c r="A18" s="3" t="s">
        <v>59</v>
      </c>
      <c r="B18" s="3" t="s">
        <v>121</v>
      </c>
      <c r="C18" s="3" t="s">
        <v>109</v>
      </c>
      <c r="D18" s="3">
        <v>25000</v>
      </c>
    </row>
    <row r="19" spans="1:4">
      <c r="A19" s="3" t="s">
        <v>62</v>
      </c>
      <c r="B19" s="3" t="s">
        <v>122</v>
      </c>
      <c r="C19" s="3" t="s">
        <v>109</v>
      </c>
      <c r="D19" s="3">
        <v>1500</v>
      </c>
    </row>
    <row r="20" spans="1:4">
      <c r="A20" s="3" t="s">
        <v>64</v>
      </c>
      <c r="B20" s="3" t="s">
        <v>123</v>
      </c>
      <c r="C20" s="3" t="s">
        <v>109</v>
      </c>
      <c r="D20" s="3">
        <v>7000</v>
      </c>
    </row>
    <row r="21" spans="1:4" ht="30">
      <c r="A21" s="3" t="s">
        <v>67</v>
      </c>
      <c r="B21" s="3" t="s">
        <v>124</v>
      </c>
      <c r="C21" s="3" t="s">
        <v>113</v>
      </c>
      <c r="D21" s="3">
        <v>250</v>
      </c>
    </row>
    <row r="22" spans="1:4" ht="30">
      <c r="A22" s="3" t="s">
        <v>70</v>
      </c>
      <c r="B22" s="3" t="s">
        <v>125</v>
      </c>
      <c r="C22" s="3" t="s">
        <v>113</v>
      </c>
      <c r="D22" s="3">
        <v>150</v>
      </c>
    </row>
    <row r="23" spans="1:4">
      <c r="A23" s="3" t="s">
        <v>73</v>
      </c>
      <c r="B23" s="3" t="s">
        <v>126</v>
      </c>
      <c r="C23" s="3" t="s">
        <v>103</v>
      </c>
      <c r="D23" s="3">
        <v>30000</v>
      </c>
    </row>
    <row r="24" spans="1:4">
      <c r="A24" s="3" t="s">
        <v>76</v>
      </c>
      <c r="B24" s="3" t="s">
        <v>127</v>
      </c>
      <c r="C24" s="3" t="s">
        <v>103</v>
      </c>
      <c r="D24" s="3">
        <v>2500</v>
      </c>
    </row>
    <row r="25" spans="1:4">
      <c r="A25" s="3" t="s">
        <v>79</v>
      </c>
      <c r="B25" s="3" t="s">
        <v>128</v>
      </c>
      <c r="C25" s="3" t="s">
        <v>103</v>
      </c>
      <c r="D25" s="3">
        <v>5000</v>
      </c>
    </row>
    <row r="26" spans="1:4" ht="30">
      <c r="A26" s="3" t="s">
        <v>81</v>
      </c>
      <c r="B26" s="3" t="s">
        <v>129</v>
      </c>
      <c r="C26" s="3" t="s">
        <v>113</v>
      </c>
      <c r="D26" s="3">
        <v>80</v>
      </c>
    </row>
    <row r="27" spans="1:4" ht="30">
      <c r="A27" s="3" t="s">
        <v>83</v>
      </c>
      <c r="B27" s="3" t="s">
        <v>130</v>
      </c>
      <c r="C27" s="3" t="s">
        <v>113</v>
      </c>
      <c r="D27" s="3">
        <v>120</v>
      </c>
    </row>
    <row r="28" spans="1:4" ht="30">
      <c r="A28" s="3" t="s">
        <v>86</v>
      </c>
      <c r="B28" s="3" t="s">
        <v>131</v>
      </c>
      <c r="C28" s="3" t="s">
        <v>109</v>
      </c>
      <c r="D28" s="3">
        <v>12000</v>
      </c>
    </row>
    <row r="29" spans="1:4">
      <c r="A29" s="3" t="s">
        <v>89</v>
      </c>
      <c r="B29" s="3" t="s">
        <v>132</v>
      </c>
      <c r="C29" s="3" t="s">
        <v>109</v>
      </c>
      <c r="D29" s="3">
        <v>6000</v>
      </c>
    </row>
    <row r="30" spans="1:4">
      <c r="A30" s="3" t="s">
        <v>91</v>
      </c>
      <c r="B30" s="3" t="s">
        <v>133</v>
      </c>
      <c r="C30" s="3" t="s">
        <v>103</v>
      </c>
      <c r="D30" s="3">
        <v>35000</v>
      </c>
    </row>
    <row r="31" spans="1:4">
      <c r="A31" s="3" t="s">
        <v>94</v>
      </c>
      <c r="B31" s="3" t="s">
        <v>134</v>
      </c>
      <c r="C31" s="3" t="s">
        <v>103</v>
      </c>
      <c r="D31" s="3">
        <v>3000</v>
      </c>
    </row>
  </sheetData>
  <dataValidations count="1">
    <dataValidation type="textLength" allowBlank="1" showInputMessage="1" showErrorMessage="1" sqref="B1:B1048576" xr:uid="{72F52F38-1A9D-4C0E-9BE9-BFD564CBA14F}">
      <formula1>1</formula1>
      <formula2>20</formula2>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97481-57DA-4F9C-91F4-2F2A9288A65F}">
  <dimension ref="A1:E31"/>
  <sheetViews>
    <sheetView workbookViewId="0">
      <selection activeCell="D5" sqref="D5"/>
    </sheetView>
  </sheetViews>
  <sheetFormatPr defaultRowHeight="15" customHeight="1"/>
  <cols>
    <col min="1" max="1" width="11.42578125" bestFit="1" customWidth="1"/>
    <col min="2" max="2" width="17.5703125" bestFit="1" customWidth="1"/>
    <col min="3" max="4" width="14.85546875" customWidth="1"/>
    <col min="5" max="5" width="19.140625" customWidth="1"/>
  </cols>
  <sheetData>
    <row r="1" spans="1:5">
      <c r="A1" s="1" t="s">
        <v>5</v>
      </c>
      <c r="B1" s="1" t="s">
        <v>135</v>
      </c>
      <c r="C1" s="1" t="s">
        <v>136</v>
      </c>
      <c r="D1" s="1" t="s">
        <v>137</v>
      </c>
      <c r="E1" s="1" t="s">
        <v>138</v>
      </c>
    </row>
    <row r="2" spans="1:5">
      <c r="A2" s="3" t="s">
        <v>13</v>
      </c>
      <c r="B2" s="3" t="s">
        <v>139</v>
      </c>
      <c r="C2" s="3" t="s">
        <v>140</v>
      </c>
      <c r="D2" s="3" t="s">
        <v>141</v>
      </c>
      <c r="E2" s="3" t="s">
        <v>142</v>
      </c>
    </row>
    <row r="3" spans="1:5">
      <c r="A3" s="3" t="s">
        <v>16</v>
      </c>
      <c r="B3" s="3" t="s">
        <v>143</v>
      </c>
      <c r="C3" s="3" t="s">
        <v>144</v>
      </c>
      <c r="D3" s="3" t="s">
        <v>145</v>
      </c>
      <c r="E3" s="3" t="s">
        <v>146</v>
      </c>
    </row>
    <row r="4" spans="1:5">
      <c r="A4" s="3" t="s">
        <v>19</v>
      </c>
      <c r="B4" s="3" t="s">
        <v>147</v>
      </c>
      <c r="C4" s="3" t="s">
        <v>148</v>
      </c>
      <c r="D4" s="3" t="s">
        <v>149</v>
      </c>
      <c r="E4" s="3" t="s">
        <v>142</v>
      </c>
    </row>
    <row r="5" spans="1:5">
      <c r="A5" s="3" t="s">
        <v>22</v>
      </c>
      <c r="B5" s="3" t="s">
        <v>150</v>
      </c>
      <c r="C5" s="3" t="s">
        <v>151</v>
      </c>
      <c r="D5" s="3" t="s">
        <v>141</v>
      </c>
      <c r="E5" s="3" t="s">
        <v>152</v>
      </c>
    </row>
    <row r="6" spans="1:5">
      <c r="A6" s="3" t="s">
        <v>25</v>
      </c>
      <c r="B6" s="3" t="s">
        <v>153</v>
      </c>
      <c r="C6" s="3" t="s">
        <v>154</v>
      </c>
      <c r="D6" s="3" t="s">
        <v>155</v>
      </c>
      <c r="E6" s="3" t="s">
        <v>146</v>
      </c>
    </row>
    <row r="7" spans="1:5">
      <c r="A7" s="3" t="s">
        <v>72</v>
      </c>
      <c r="B7" s="3" t="s">
        <v>156</v>
      </c>
      <c r="C7" s="3" t="s">
        <v>157</v>
      </c>
      <c r="D7" s="3" t="s">
        <v>155</v>
      </c>
      <c r="E7" s="3" t="s">
        <v>142</v>
      </c>
    </row>
    <row r="8" spans="1:5">
      <c r="A8" s="3" t="s">
        <v>30</v>
      </c>
      <c r="B8" s="3" t="s">
        <v>158</v>
      </c>
      <c r="C8" s="3" t="s">
        <v>159</v>
      </c>
      <c r="D8" s="3" t="s">
        <v>159</v>
      </c>
      <c r="E8" s="3" t="s">
        <v>146</v>
      </c>
    </row>
    <row r="9" spans="1:5">
      <c r="A9" s="3" t="s">
        <v>33</v>
      </c>
      <c r="B9" s="3" t="s">
        <v>160</v>
      </c>
      <c r="C9" s="3" t="s">
        <v>161</v>
      </c>
      <c r="D9" s="3" t="s">
        <v>162</v>
      </c>
      <c r="E9" s="3" t="s">
        <v>142</v>
      </c>
    </row>
    <row r="10" spans="1:5">
      <c r="A10" s="3" t="s">
        <v>163</v>
      </c>
      <c r="B10" s="3" t="s">
        <v>164</v>
      </c>
      <c r="C10" s="3" t="s">
        <v>165</v>
      </c>
      <c r="D10" s="3" t="s">
        <v>166</v>
      </c>
      <c r="E10" s="3" t="s">
        <v>152</v>
      </c>
    </row>
    <row r="11" spans="1:5">
      <c r="A11" s="3" t="s">
        <v>38</v>
      </c>
      <c r="B11" s="3" t="s">
        <v>167</v>
      </c>
      <c r="C11" s="3" t="s">
        <v>168</v>
      </c>
      <c r="D11" s="3" t="s">
        <v>169</v>
      </c>
      <c r="E11" s="3" t="s">
        <v>142</v>
      </c>
    </row>
    <row r="12" spans="1:5">
      <c r="A12" s="3" t="s">
        <v>41</v>
      </c>
      <c r="B12" s="3" t="s">
        <v>170</v>
      </c>
      <c r="C12" s="3" t="s">
        <v>171</v>
      </c>
      <c r="D12" s="3" t="s">
        <v>172</v>
      </c>
      <c r="E12" s="3" t="s">
        <v>142</v>
      </c>
    </row>
    <row r="13" spans="1:5" ht="30">
      <c r="A13" s="3" t="s">
        <v>44</v>
      </c>
      <c r="B13" s="3" t="s">
        <v>173</v>
      </c>
      <c r="C13" s="3" t="s">
        <v>174</v>
      </c>
      <c r="D13" s="3" t="s">
        <v>175</v>
      </c>
      <c r="E13" s="3" t="s">
        <v>152</v>
      </c>
    </row>
    <row r="14" spans="1:5">
      <c r="A14" s="3" t="s">
        <v>176</v>
      </c>
      <c r="B14" s="3" t="s">
        <v>177</v>
      </c>
      <c r="C14" s="3" t="s">
        <v>140</v>
      </c>
      <c r="D14" s="3" t="s">
        <v>141</v>
      </c>
      <c r="E14" s="3" t="s">
        <v>146</v>
      </c>
    </row>
    <row r="15" spans="1:5">
      <c r="A15" s="3" t="s">
        <v>50</v>
      </c>
      <c r="B15" s="3" t="s">
        <v>178</v>
      </c>
      <c r="C15" s="3" t="s">
        <v>171</v>
      </c>
      <c r="D15" s="3" t="s">
        <v>172</v>
      </c>
      <c r="E15" s="3" t="s">
        <v>142</v>
      </c>
    </row>
    <row r="16" spans="1:5">
      <c r="A16" s="3" t="s">
        <v>47</v>
      </c>
      <c r="B16" s="3" t="s">
        <v>179</v>
      </c>
      <c r="C16" s="3" t="s">
        <v>148</v>
      </c>
      <c r="D16" s="3" t="s">
        <v>149</v>
      </c>
      <c r="E16" s="3" t="s">
        <v>146</v>
      </c>
    </row>
    <row r="17" spans="1:5">
      <c r="A17" s="3" t="s">
        <v>55</v>
      </c>
      <c r="B17" s="3" t="s">
        <v>180</v>
      </c>
      <c r="C17" s="3" t="s">
        <v>181</v>
      </c>
      <c r="D17" s="3" t="s">
        <v>141</v>
      </c>
      <c r="E17" s="3" t="s">
        <v>142</v>
      </c>
    </row>
    <row r="18" spans="1:5">
      <c r="A18" s="3" t="s">
        <v>58</v>
      </c>
      <c r="B18" s="3" t="s">
        <v>182</v>
      </c>
      <c r="C18" s="3" t="s">
        <v>154</v>
      </c>
      <c r="D18" s="3" t="s">
        <v>155</v>
      </c>
      <c r="E18" s="3" t="s">
        <v>142</v>
      </c>
    </row>
    <row r="19" spans="1:5">
      <c r="A19" s="3" t="s">
        <v>61</v>
      </c>
      <c r="B19" s="3" t="s">
        <v>183</v>
      </c>
      <c r="C19" s="3" t="s">
        <v>144</v>
      </c>
      <c r="D19" s="3" t="s">
        <v>145</v>
      </c>
      <c r="E19" s="3" t="s">
        <v>152</v>
      </c>
    </row>
    <row r="20" spans="1:5">
      <c r="A20" s="3" t="s">
        <v>184</v>
      </c>
      <c r="B20" s="3" t="s">
        <v>185</v>
      </c>
      <c r="C20" s="3" t="s">
        <v>151</v>
      </c>
      <c r="D20" s="3" t="s">
        <v>141</v>
      </c>
      <c r="E20" s="3" t="s">
        <v>146</v>
      </c>
    </row>
    <row r="21" spans="1:5">
      <c r="A21" s="3" t="s">
        <v>66</v>
      </c>
      <c r="B21" s="3" t="s">
        <v>186</v>
      </c>
      <c r="C21" s="3" t="s">
        <v>159</v>
      </c>
      <c r="D21" s="3" t="s">
        <v>159</v>
      </c>
      <c r="E21" s="3" t="s">
        <v>142</v>
      </c>
    </row>
    <row r="22" spans="1:5">
      <c r="A22" s="3" t="s">
        <v>69</v>
      </c>
      <c r="B22" s="3" t="s">
        <v>187</v>
      </c>
      <c r="C22" s="3" t="s">
        <v>165</v>
      </c>
      <c r="D22" s="3" t="s">
        <v>166</v>
      </c>
      <c r="E22" s="3" t="s">
        <v>142</v>
      </c>
    </row>
    <row r="23" spans="1:5">
      <c r="A23" s="3" t="s">
        <v>188</v>
      </c>
      <c r="B23" s="3" t="s">
        <v>189</v>
      </c>
      <c r="C23" s="3" t="s">
        <v>168</v>
      </c>
      <c r="D23" s="3" t="s">
        <v>169</v>
      </c>
      <c r="E23" s="3" t="s">
        <v>152</v>
      </c>
    </row>
    <row r="24" spans="1:5">
      <c r="A24" s="3" t="s">
        <v>190</v>
      </c>
      <c r="B24" s="3" t="s">
        <v>191</v>
      </c>
      <c r="C24" s="3" t="s">
        <v>171</v>
      </c>
      <c r="D24" s="3" t="s">
        <v>172</v>
      </c>
      <c r="E24" s="3" t="s">
        <v>142</v>
      </c>
    </row>
    <row r="25" spans="1:5">
      <c r="A25" s="3" t="s">
        <v>78</v>
      </c>
      <c r="B25" s="3" t="s">
        <v>192</v>
      </c>
      <c r="C25" s="3" t="s">
        <v>157</v>
      </c>
      <c r="D25" s="3" t="s">
        <v>155</v>
      </c>
      <c r="E25" s="3" t="s">
        <v>146</v>
      </c>
    </row>
    <row r="26" spans="1:5">
      <c r="A26" s="3" t="s">
        <v>75</v>
      </c>
      <c r="B26" s="3" t="s">
        <v>193</v>
      </c>
      <c r="C26" s="3" t="s">
        <v>140</v>
      </c>
      <c r="D26" s="3" t="s">
        <v>141</v>
      </c>
      <c r="E26" s="3" t="s">
        <v>142</v>
      </c>
    </row>
    <row r="27" spans="1:5">
      <c r="A27" s="3" t="s">
        <v>194</v>
      </c>
      <c r="B27" s="3" t="s">
        <v>195</v>
      </c>
      <c r="C27" s="3" t="s">
        <v>144</v>
      </c>
      <c r="D27" s="3" t="s">
        <v>145</v>
      </c>
      <c r="E27" s="3" t="s">
        <v>142</v>
      </c>
    </row>
    <row r="28" spans="1:5">
      <c r="A28" s="3" t="s">
        <v>85</v>
      </c>
      <c r="B28" s="3" t="s">
        <v>196</v>
      </c>
      <c r="C28" s="3" t="s">
        <v>148</v>
      </c>
      <c r="D28" s="3" t="s">
        <v>149</v>
      </c>
      <c r="E28" s="3" t="s">
        <v>152</v>
      </c>
    </row>
    <row r="29" spans="1:5">
      <c r="A29" s="3" t="s">
        <v>88</v>
      </c>
      <c r="B29" s="3" t="s">
        <v>197</v>
      </c>
      <c r="C29" s="3" t="s">
        <v>159</v>
      </c>
      <c r="D29" s="3" t="s">
        <v>159</v>
      </c>
      <c r="E29" s="3" t="s">
        <v>146</v>
      </c>
    </row>
    <row r="30" spans="1:5">
      <c r="A30" s="3" t="s">
        <v>198</v>
      </c>
      <c r="B30" s="3" t="s">
        <v>199</v>
      </c>
      <c r="C30" s="3" t="s">
        <v>151</v>
      </c>
      <c r="D30" s="3" t="s">
        <v>141</v>
      </c>
      <c r="E30" s="3" t="s">
        <v>142</v>
      </c>
    </row>
    <row r="31" spans="1:5">
      <c r="A31" s="3" t="s">
        <v>93</v>
      </c>
      <c r="B31" s="3" t="s">
        <v>200</v>
      </c>
      <c r="C31" s="3" t="s">
        <v>181</v>
      </c>
      <c r="D31" s="3" t="s">
        <v>141</v>
      </c>
      <c r="E31" s="3" t="s">
        <v>142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78D90-91B1-4293-96E8-1CB5D0918920}">
  <dimension ref="A1:B11"/>
  <sheetViews>
    <sheetView workbookViewId="0">
      <selection activeCell="D14" sqref="D14"/>
    </sheetView>
  </sheetViews>
  <sheetFormatPr defaultRowHeight="15"/>
  <cols>
    <col min="1" max="1" width="12.28515625" customWidth="1"/>
  </cols>
  <sheetData>
    <row r="1" spans="1:2">
      <c r="A1" t="s">
        <v>137</v>
      </c>
      <c r="B1" t="s">
        <v>201</v>
      </c>
    </row>
    <row r="2" spans="1:2">
      <c r="A2" t="s">
        <v>141</v>
      </c>
      <c r="B2" t="s">
        <v>202</v>
      </c>
    </row>
    <row r="3" spans="1:2">
      <c r="A3" t="s">
        <v>155</v>
      </c>
      <c r="B3" t="s">
        <v>203</v>
      </c>
    </row>
    <row r="4" spans="1:2">
      <c r="A4" t="s">
        <v>145</v>
      </c>
      <c r="B4" t="s">
        <v>202</v>
      </c>
    </row>
    <row r="5" spans="1:2">
      <c r="A5" t="s">
        <v>159</v>
      </c>
      <c r="B5" t="s">
        <v>204</v>
      </c>
    </row>
    <row r="6" spans="1:2">
      <c r="A6" t="s">
        <v>149</v>
      </c>
      <c r="B6" t="s">
        <v>202</v>
      </c>
    </row>
    <row r="7" spans="1:2">
      <c r="A7" t="s">
        <v>166</v>
      </c>
      <c r="B7" t="s">
        <v>203</v>
      </c>
    </row>
    <row r="8" spans="1:2">
      <c r="A8" t="s">
        <v>175</v>
      </c>
      <c r="B8" t="s">
        <v>202</v>
      </c>
    </row>
    <row r="9" spans="1:2">
      <c r="A9" t="s">
        <v>172</v>
      </c>
      <c r="B9" t="s">
        <v>202</v>
      </c>
    </row>
    <row r="10" spans="1:2">
      <c r="A10" t="s">
        <v>169</v>
      </c>
      <c r="B10" t="s">
        <v>204</v>
      </c>
    </row>
    <row r="11" spans="1:2">
      <c r="A11" t="s">
        <v>162</v>
      </c>
      <c r="B11" t="s">
        <v>205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1F397-A027-41E7-BA99-EC864DAF8282}">
  <dimension ref="A1:E16"/>
  <sheetViews>
    <sheetView zoomScale="107" workbookViewId="0">
      <selection activeCell="J21" sqref="J21"/>
    </sheetView>
  </sheetViews>
  <sheetFormatPr defaultRowHeight="15"/>
  <cols>
    <col min="1" max="1" width="12.28515625" customWidth="1"/>
    <col min="2" max="2" width="13.5703125" customWidth="1"/>
    <col min="3" max="3" width="21.85546875" customWidth="1"/>
    <col min="4" max="4" width="36" customWidth="1"/>
    <col min="5" max="5" width="36.140625" customWidth="1"/>
  </cols>
  <sheetData>
    <row r="1" spans="1:5">
      <c r="A1" t="s">
        <v>206</v>
      </c>
      <c r="B1" t="s">
        <v>207</v>
      </c>
      <c r="C1" t="s">
        <v>208</v>
      </c>
      <c r="D1" t="s">
        <v>209</v>
      </c>
      <c r="E1" t="s">
        <v>210</v>
      </c>
    </row>
    <row r="2" spans="1:5">
      <c r="A2" s="11">
        <v>45658</v>
      </c>
      <c r="B2">
        <v>377600</v>
      </c>
    </row>
    <row r="3" spans="1:5">
      <c r="A3" s="11">
        <v>45689</v>
      </c>
      <c r="B3">
        <v>377600</v>
      </c>
    </row>
    <row r="4" spans="1:5">
      <c r="A4" s="11">
        <v>45717</v>
      </c>
      <c r="B4">
        <v>377600</v>
      </c>
    </row>
    <row r="5" spans="1:5">
      <c r="A5" s="11">
        <v>45748</v>
      </c>
      <c r="B5">
        <v>377600</v>
      </c>
    </row>
    <row r="6" spans="1:5">
      <c r="A6" s="11">
        <v>45778</v>
      </c>
      <c r="B6">
        <v>377600</v>
      </c>
    </row>
    <row r="7" spans="1:5">
      <c r="A7" s="11">
        <v>45809</v>
      </c>
      <c r="B7">
        <v>377600</v>
      </c>
    </row>
    <row r="8" spans="1:5">
      <c r="A8" s="11">
        <v>45839</v>
      </c>
      <c r="B8">
        <v>377600</v>
      </c>
    </row>
    <row r="9" spans="1:5">
      <c r="A9" s="11">
        <v>45870</v>
      </c>
      <c r="B9">
        <v>377600</v>
      </c>
    </row>
    <row r="10" spans="1:5">
      <c r="A10" s="11">
        <v>45901</v>
      </c>
      <c r="B10">
        <v>377600</v>
      </c>
    </row>
    <row r="11" spans="1:5">
      <c r="A11" s="11">
        <v>45931</v>
      </c>
      <c r="B11">
        <v>377600</v>
      </c>
    </row>
    <row r="12" spans="1:5">
      <c r="A12" s="11">
        <v>45962</v>
      </c>
      <c r="B12">
        <v>377600</v>
      </c>
    </row>
    <row r="13" spans="1:5">
      <c r="A13" s="11">
        <v>45992</v>
      </c>
      <c r="B13">
        <v>377600</v>
      </c>
      <c r="C13">
        <v>377600</v>
      </c>
      <c r="D13" s="12">
        <v>377600</v>
      </c>
      <c r="E13" s="12">
        <v>377600</v>
      </c>
    </row>
    <row r="14" spans="1:5">
      <c r="A14" s="11">
        <v>46023</v>
      </c>
      <c r="C14">
        <f>_xlfn.FORECAST.ETS(A14,$B$2:$B$13,$A$2:$A$13,1,1)</f>
        <v>377600</v>
      </c>
      <c r="D14" s="12">
        <f>C14-_xlfn.FORECAST.ETS.CONFINT(A14,$B$2:$B$13,$A$2:$A$13,0.95,1,1)</f>
        <v>377600</v>
      </c>
      <c r="E14" s="12">
        <f>C14+_xlfn.FORECAST.ETS.CONFINT(A14,$B$2:$B$13,$A$2:$A$13,0.95,1,1)</f>
        <v>377600</v>
      </c>
    </row>
    <row r="15" spans="1:5">
      <c r="A15" s="11">
        <v>46054</v>
      </c>
      <c r="C15">
        <f>_xlfn.FORECAST.ETS(A15,$B$2:$B$13,$A$2:$A$13,1,1)</f>
        <v>377600</v>
      </c>
      <c r="D15" s="12">
        <f>C15-_xlfn.FORECAST.ETS.CONFINT(A15,$B$2:$B$13,$A$2:$A$13,0.95,1,1)</f>
        <v>377600</v>
      </c>
      <c r="E15" s="12">
        <f>C15+_xlfn.FORECAST.ETS.CONFINT(A15,$B$2:$B$13,$A$2:$A$13,0.95,1,1)</f>
        <v>377600</v>
      </c>
    </row>
    <row r="16" spans="1:5">
      <c r="A16" s="11">
        <v>46082</v>
      </c>
      <c r="C16">
        <f>_xlfn.FORECAST.ETS(A16,$B$2:$B$13,$A$2:$A$13,1,1)</f>
        <v>377600</v>
      </c>
      <c r="D16" s="12">
        <f>C16-_xlfn.FORECAST.ETS.CONFINT(A16,$B$2:$B$13,$A$2:$A$13,0.95,1,1)</f>
        <v>377600</v>
      </c>
      <c r="E16" s="12">
        <f>C16+_xlfn.FORECAST.ETS.CONFINT(A16,$B$2:$B$13,$A$2:$A$13,0.95,1,1)</f>
        <v>377600</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72E9A-9961-4BDD-8F51-3BF4A90A9ADE}">
  <dimension ref="A1:DI40"/>
  <sheetViews>
    <sheetView topLeftCell="M1" zoomScale="84" workbookViewId="0">
      <selection activeCell="P8" sqref="P8"/>
    </sheetView>
  </sheetViews>
  <sheetFormatPr defaultRowHeight="15"/>
  <cols>
    <col min="1" max="1" width="9.85546875" bestFit="1" customWidth="1"/>
    <col min="2" max="2" width="10.28515625" bestFit="1" customWidth="1"/>
    <col min="3" max="3" width="14.140625" bestFit="1" customWidth="1"/>
    <col min="4" max="4" width="18.5703125" bestFit="1" customWidth="1"/>
    <col min="5" max="5" width="11.7109375" bestFit="1" customWidth="1"/>
    <col min="6" max="6" width="9.7109375" bestFit="1" customWidth="1"/>
    <col min="7" max="7" width="17.28515625" bestFit="1" customWidth="1"/>
    <col min="8" max="8" width="19.7109375" bestFit="1" customWidth="1"/>
    <col min="15" max="15" width="13.42578125" bestFit="1" customWidth="1"/>
    <col min="16" max="16" width="11.7109375" bestFit="1" customWidth="1"/>
    <col min="26" max="26" width="12.7109375" bestFit="1" customWidth="1"/>
    <col min="27" max="27" width="11.7109375" bestFit="1" customWidth="1"/>
    <col min="32" max="32" width="12.7109375" bestFit="1" customWidth="1"/>
    <col min="33" max="33" width="13.140625" bestFit="1" customWidth="1"/>
    <col min="34" max="34" width="4" bestFit="1" customWidth="1"/>
    <col min="35" max="35" width="4.42578125" bestFit="1" customWidth="1"/>
    <col min="36" max="36" width="4" bestFit="1" customWidth="1"/>
    <col min="37" max="37" width="4.7109375" bestFit="1" customWidth="1"/>
    <col min="38" max="38" width="3.85546875" bestFit="1" customWidth="1"/>
    <col min="39" max="39" width="3.28515625" bestFit="1" customWidth="1"/>
    <col min="40" max="40" width="4.28515625" bestFit="1" customWidth="1"/>
    <col min="41" max="41" width="4.140625" bestFit="1" customWidth="1"/>
    <col min="42" max="42" width="3.85546875" bestFit="1" customWidth="1"/>
    <col min="43" max="43" width="4.42578125" bestFit="1" customWidth="1"/>
    <col min="44" max="44" width="4.140625" bestFit="1" customWidth="1"/>
    <col min="45" max="45" width="10.7109375" bestFit="1" customWidth="1"/>
    <col min="48" max="48" width="12.7109375" bestFit="1" customWidth="1"/>
    <col min="49" max="49" width="12.140625" bestFit="1" customWidth="1"/>
    <col min="58" max="58" width="12.7109375" bestFit="1" customWidth="1"/>
    <col min="59" max="59" width="11.7109375" bestFit="1" customWidth="1"/>
    <col min="69" max="69" width="12.7109375" bestFit="1" customWidth="1"/>
    <col min="70" max="70" width="14.85546875" bestFit="1" customWidth="1"/>
    <col min="71" max="71" width="14.28515625" bestFit="1" customWidth="1"/>
    <col min="72" max="72" width="13.5703125" bestFit="1" customWidth="1"/>
    <col min="75" max="75" width="12.7109375" bestFit="1" customWidth="1"/>
    <col min="76" max="76" width="19.140625" bestFit="1" customWidth="1"/>
    <col min="85" max="85" width="13.42578125" bestFit="1" customWidth="1"/>
    <col min="86" max="86" width="19.140625" bestFit="1" customWidth="1"/>
    <col min="92" max="92" width="12.7109375" bestFit="1" customWidth="1"/>
    <col min="93" max="93" width="17.42578125" bestFit="1" customWidth="1"/>
    <col min="97" max="97" width="12.7109375" bestFit="1" customWidth="1"/>
    <col min="98" max="98" width="11.7109375" bestFit="1" customWidth="1"/>
    <col min="99" max="99" width="17.7109375" bestFit="1" customWidth="1"/>
    <col min="100" max="101" width="15.5703125" bestFit="1" customWidth="1"/>
    <col min="102" max="102" width="12.7109375" bestFit="1" customWidth="1"/>
    <col min="103" max="103" width="11.7109375" bestFit="1" customWidth="1"/>
    <col min="104" max="105" width="10.28515625" bestFit="1" customWidth="1"/>
    <col min="106" max="106" width="12.7109375" bestFit="1" customWidth="1"/>
    <col min="107" max="107" width="15.5703125" bestFit="1" customWidth="1"/>
    <col min="108" max="108" width="6" bestFit="1" customWidth="1"/>
    <col min="109" max="109" width="6.42578125" bestFit="1" customWidth="1"/>
    <col min="110" max="110" width="6" bestFit="1" customWidth="1"/>
    <col min="111" max="111" width="6.7109375" bestFit="1" customWidth="1"/>
    <col min="112" max="112" width="6" bestFit="1" customWidth="1"/>
    <col min="113" max="137" width="10.7109375" bestFit="1" customWidth="1"/>
    <col min="138" max="166" width="10.28515625" bestFit="1" customWidth="1"/>
    <col min="167" max="167" width="12.28515625" bestFit="1" customWidth="1"/>
    <col min="168" max="196" width="10.28515625" bestFit="1" customWidth="1"/>
    <col min="197" max="197" width="12.28515625" bestFit="1" customWidth="1"/>
    <col min="198" max="226" width="10.28515625" bestFit="1" customWidth="1"/>
    <col min="227" max="227" width="12.28515625" bestFit="1" customWidth="1"/>
    <col min="228" max="256" width="10.28515625" bestFit="1" customWidth="1"/>
    <col min="257" max="257" width="12.28515625" bestFit="1" customWidth="1"/>
    <col min="258" max="286" width="10.28515625" bestFit="1" customWidth="1"/>
    <col min="287" max="287" width="12.28515625" bestFit="1" customWidth="1"/>
    <col min="288" max="316" width="10.28515625" bestFit="1" customWidth="1"/>
    <col min="317" max="317" width="12.28515625" bestFit="1" customWidth="1"/>
    <col min="318" max="346" width="10.28515625" bestFit="1" customWidth="1"/>
    <col min="347" max="347" width="12.28515625" bestFit="1" customWidth="1"/>
    <col min="348" max="376" width="10.28515625" bestFit="1" customWidth="1"/>
    <col min="377" max="377" width="12.28515625" bestFit="1" customWidth="1"/>
    <col min="378" max="406" width="10.28515625" bestFit="1" customWidth="1"/>
    <col min="407" max="407" width="12.28515625" bestFit="1" customWidth="1"/>
    <col min="408" max="436" width="10.28515625" bestFit="1" customWidth="1"/>
    <col min="437" max="437" width="12.28515625" bestFit="1" customWidth="1"/>
    <col min="438" max="466" width="10.28515625" bestFit="1" customWidth="1"/>
    <col min="467" max="467" width="10.7109375" bestFit="1" customWidth="1"/>
  </cols>
  <sheetData>
    <row r="1" spans="1:113">
      <c r="A1" t="s">
        <v>211</v>
      </c>
      <c r="B1" t="s">
        <v>212</v>
      </c>
      <c r="C1" t="s">
        <v>213</v>
      </c>
      <c r="D1" t="s">
        <v>214</v>
      </c>
      <c r="E1" t="s">
        <v>215</v>
      </c>
      <c r="F1" t="s">
        <v>216</v>
      </c>
      <c r="G1" t="s">
        <v>217</v>
      </c>
      <c r="H1" t="s">
        <v>218</v>
      </c>
    </row>
    <row r="2" spans="1:113">
      <c r="A2">
        <v>377600</v>
      </c>
      <c r="B2">
        <v>76150</v>
      </c>
      <c r="C2">
        <v>0.20166843220338984</v>
      </c>
      <c r="D2">
        <v>12586.666666666666</v>
      </c>
      <c r="E2">
        <v>30</v>
      </c>
      <c r="F2">
        <v>23</v>
      </c>
      <c r="G2">
        <v>4822.4776500638573</v>
      </c>
      <c r="H2">
        <v>7.9662447257383973E-2</v>
      </c>
    </row>
    <row r="4" spans="1:113">
      <c r="CG4" s="8" t="s">
        <v>206</v>
      </c>
      <c r="CH4" t="s">
        <v>219</v>
      </c>
    </row>
    <row r="5" spans="1:113">
      <c r="Z5" s="8" t="s">
        <v>206</v>
      </c>
      <c r="AA5" t="s">
        <v>207</v>
      </c>
      <c r="AF5" s="8" t="s">
        <v>206</v>
      </c>
      <c r="AG5" t="s">
        <v>220</v>
      </c>
      <c r="AV5" s="8" t="s">
        <v>206</v>
      </c>
      <c r="AW5" t="s">
        <v>221</v>
      </c>
      <c r="BQ5" s="8" t="s">
        <v>206</v>
      </c>
      <c r="BR5" t="s">
        <v>222</v>
      </c>
      <c r="BS5" t="s">
        <v>223</v>
      </c>
      <c r="BT5" t="s">
        <v>224</v>
      </c>
      <c r="BW5" s="8" t="s">
        <v>97</v>
      </c>
      <c r="BX5" t="s" vm="1">
        <v>225</v>
      </c>
      <c r="CG5" s="9" t="s">
        <v>103</v>
      </c>
      <c r="CH5">
        <v>2349</v>
      </c>
      <c r="CN5" s="8" t="s">
        <v>206</v>
      </c>
      <c r="CO5" t="s">
        <v>226</v>
      </c>
    </row>
    <row r="6" spans="1:113">
      <c r="O6" s="8" t="s">
        <v>206</v>
      </c>
      <c r="P6" t="s">
        <v>207</v>
      </c>
      <c r="Z6" s="9" t="s">
        <v>205</v>
      </c>
      <c r="AA6">
        <v>6000</v>
      </c>
      <c r="AF6" s="10">
        <v>45658</v>
      </c>
      <c r="AG6">
        <v>30</v>
      </c>
      <c r="AV6" s="9" t="s">
        <v>193</v>
      </c>
      <c r="AW6">
        <v>11400</v>
      </c>
      <c r="BF6" s="8" t="s">
        <v>206</v>
      </c>
      <c r="BG6" t="s">
        <v>207</v>
      </c>
      <c r="BQ6" s="9" t="s">
        <v>205</v>
      </c>
      <c r="BS6">
        <v>1</v>
      </c>
      <c r="CG6" s="9" t="s">
        <v>109</v>
      </c>
      <c r="CH6">
        <v>2349</v>
      </c>
      <c r="CN6" s="9" t="s">
        <v>227</v>
      </c>
      <c r="CO6">
        <v>30</v>
      </c>
    </row>
    <row r="7" spans="1:113">
      <c r="O7" s="9" t="s">
        <v>103</v>
      </c>
      <c r="P7">
        <v>256900</v>
      </c>
      <c r="Z7" s="9" t="s">
        <v>204</v>
      </c>
      <c r="AA7">
        <v>23000</v>
      </c>
      <c r="AF7" s="10">
        <v>45689</v>
      </c>
      <c r="AG7">
        <v>30</v>
      </c>
      <c r="AV7" s="9" t="s">
        <v>139</v>
      </c>
      <c r="AW7">
        <v>10000</v>
      </c>
      <c r="BF7" s="9" t="s">
        <v>142</v>
      </c>
      <c r="BG7">
        <v>232000</v>
      </c>
      <c r="BQ7" s="9" t="s">
        <v>204</v>
      </c>
      <c r="BS7">
        <v>4</v>
      </c>
      <c r="BW7" s="8" t="s">
        <v>206</v>
      </c>
      <c r="BX7" t="s">
        <v>219</v>
      </c>
      <c r="CG7" s="9" t="s">
        <v>113</v>
      </c>
      <c r="CH7">
        <v>2349</v>
      </c>
      <c r="CN7" s="9" t="s">
        <v>228</v>
      </c>
      <c r="CO7">
        <v>30</v>
      </c>
      <c r="CS7" s="8" t="s">
        <v>206</v>
      </c>
      <c r="CT7" t="s">
        <v>207</v>
      </c>
      <c r="CU7" t="s">
        <v>229</v>
      </c>
      <c r="CX7" s="8" t="s">
        <v>206</v>
      </c>
      <c r="CY7" t="s">
        <v>207</v>
      </c>
      <c r="DB7" s="8" t="s">
        <v>207</v>
      </c>
      <c r="DC7" s="8" t="s">
        <v>230</v>
      </c>
    </row>
    <row r="8" spans="1:113">
      <c r="O8" s="9" t="s">
        <v>109</v>
      </c>
      <c r="P8">
        <v>97000</v>
      </c>
      <c r="Z8" s="9" t="s">
        <v>202</v>
      </c>
      <c r="AA8">
        <v>246100</v>
      </c>
      <c r="AF8" s="10">
        <v>45717</v>
      </c>
      <c r="AG8">
        <v>30</v>
      </c>
      <c r="AV8" s="9" t="s">
        <v>156</v>
      </c>
      <c r="AW8">
        <v>8000</v>
      </c>
      <c r="BF8" s="9" t="s">
        <v>146</v>
      </c>
      <c r="BG8">
        <v>100000</v>
      </c>
      <c r="BQ8" s="9" t="s">
        <v>202</v>
      </c>
      <c r="BR8">
        <v>4</v>
      </c>
      <c r="BS8">
        <v>9</v>
      </c>
      <c r="BT8">
        <v>0.30769230769230771</v>
      </c>
      <c r="BW8" s="9" t="s">
        <v>111</v>
      </c>
      <c r="BX8">
        <v>34</v>
      </c>
      <c r="CG8" s="9" t="s">
        <v>228</v>
      </c>
      <c r="CH8">
        <v>2349</v>
      </c>
      <c r="CS8" s="9" t="s">
        <v>231</v>
      </c>
      <c r="CT8">
        <v>247700</v>
      </c>
      <c r="CU8">
        <v>4740000</v>
      </c>
      <c r="CX8" s="10">
        <v>45658</v>
      </c>
      <c r="CY8">
        <v>377600</v>
      </c>
      <c r="DC8" t="s">
        <v>231</v>
      </c>
      <c r="DD8" t="s">
        <v>232</v>
      </c>
      <c r="DE8" t="s">
        <v>233</v>
      </c>
      <c r="DF8" t="s">
        <v>234</v>
      </c>
      <c r="DG8" t="s">
        <v>235</v>
      </c>
      <c r="DH8" t="s">
        <v>236</v>
      </c>
      <c r="DI8" t="s">
        <v>228</v>
      </c>
    </row>
    <row r="9" spans="1:113">
      <c r="O9" s="9" t="s">
        <v>113</v>
      </c>
      <c r="P9">
        <v>23700</v>
      </c>
      <c r="Z9" s="9" t="s">
        <v>203</v>
      </c>
      <c r="AA9">
        <v>102500</v>
      </c>
      <c r="AF9" s="10">
        <v>45748</v>
      </c>
      <c r="AG9">
        <v>30</v>
      </c>
      <c r="AV9" s="9" t="s">
        <v>182</v>
      </c>
      <c r="AW9">
        <v>7000</v>
      </c>
      <c r="BF9" s="9" t="s">
        <v>152</v>
      </c>
      <c r="BG9">
        <v>45600</v>
      </c>
      <c r="BQ9" s="9" t="s">
        <v>203</v>
      </c>
      <c r="BS9">
        <v>5</v>
      </c>
      <c r="BW9" s="9" t="s">
        <v>123</v>
      </c>
      <c r="BX9">
        <v>34</v>
      </c>
      <c r="CS9" s="9" t="s">
        <v>232</v>
      </c>
      <c r="CT9">
        <v>21000</v>
      </c>
      <c r="CU9">
        <v>4740000</v>
      </c>
      <c r="CX9" s="10">
        <v>45689</v>
      </c>
      <c r="CY9">
        <v>377600</v>
      </c>
      <c r="DB9" s="8" t="s">
        <v>206</v>
      </c>
    </row>
    <row r="10" spans="1:113">
      <c r="O10" s="9" t="s">
        <v>228</v>
      </c>
      <c r="P10">
        <v>377600</v>
      </c>
      <c r="Z10" s="9" t="s">
        <v>228</v>
      </c>
      <c r="AA10">
        <v>377600</v>
      </c>
      <c r="AF10" s="10">
        <v>45778</v>
      </c>
      <c r="AG10">
        <v>30</v>
      </c>
      <c r="AV10" s="9" t="s">
        <v>179</v>
      </c>
      <c r="AW10">
        <v>5000</v>
      </c>
      <c r="BF10" s="9" t="s">
        <v>228</v>
      </c>
      <c r="BG10">
        <v>377600</v>
      </c>
      <c r="BQ10" s="9" t="s">
        <v>228</v>
      </c>
      <c r="BR10">
        <v>4</v>
      </c>
      <c r="BS10">
        <v>19</v>
      </c>
      <c r="BT10">
        <v>0.17391304347826086</v>
      </c>
      <c r="BW10" s="9" t="s">
        <v>116</v>
      </c>
      <c r="BX10">
        <v>34</v>
      </c>
      <c r="CS10" s="9" t="s">
        <v>233</v>
      </c>
      <c r="CT10">
        <v>14500</v>
      </c>
      <c r="CU10">
        <v>4740000</v>
      </c>
      <c r="CX10" s="10">
        <v>45717</v>
      </c>
      <c r="CY10">
        <v>377600</v>
      </c>
      <c r="DB10" s="9" t="s">
        <v>111</v>
      </c>
      <c r="DE10">
        <v>6000</v>
      </c>
      <c r="DI10">
        <v>6000</v>
      </c>
    </row>
    <row r="11" spans="1:113">
      <c r="AF11" s="10">
        <v>45809</v>
      </c>
      <c r="AG11">
        <v>30</v>
      </c>
      <c r="AV11" s="9" t="s">
        <v>180</v>
      </c>
      <c r="AW11">
        <v>4600</v>
      </c>
      <c r="BW11" s="9" t="s">
        <v>110</v>
      </c>
      <c r="BX11">
        <v>34</v>
      </c>
      <c r="CS11" s="9" t="s">
        <v>234</v>
      </c>
      <c r="CT11">
        <v>14400</v>
      </c>
      <c r="CU11">
        <v>4740000</v>
      </c>
      <c r="CX11" s="10">
        <v>45748</v>
      </c>
      <c r="CY11">
        <v>377600</v>
      </c>
      <c r="DB11" s="9" t="s">
        <v>123</v>
      </c>
      <c r="DH11">
        <v>9000</v>
      </c>
      <c r="DI11">
        <v>9000</v>
      </c>
    </row>
    <row r="12" spans="1:113">
      <c r="AF12" s="10">
        <v>45839</v>
      </c>
      <c r="AG12">
        <v>30</v>
      </c>
      <c r="AV12" s="9" t="s">
        <v>143</v>
      </c>
      <c r="AW12">
        <v>4000</v>
      </c>
      <c r="BW12" s="9" t="s">
        <v>108</v>
      </c>
      <c r="BX12">
        <v>34</v>
      </c>
      <c r="CS12" s="9" t="s">
        <v>235</v>
      </c>
      <c r="CT12">
        <v>65000</v>
      </c>
      <c r="CU12">
        <v>4740000</v>
      </c>
      <c r="CX12" s="10">
        <v>45778</v>
      </c>
      <c r="CY12">
        <v>377600</v>
      </c>
      <c r="DB12" s="9" t="s">
        <v>116</v>
      </c>
      <c r="DF12">
        <v>3200</v>
      </c>
      <c r="DI12">
        <v>3200</v>
      </c>
    </row>
    <row r="13" spans="1:113">
      <c r="AF13" s="10">
        <v>45870</v>
      </c>
      <c r="AG13">
        <v>30</v>
      </c>
      <c r="AV13" s="9" t="s">
        <v>150</v>
      </c>
      <c r="AW13">
        <v>3900</v>
      </c>
      <c r="BW13" s="9" t="s">
        <v>129</v>
      </c>
      <c r="BX13">
        <v>34</v>
      </c>
      <c r="CS13" s="9" t="s">
        <v>236</v>
      </c>
      <c r="CT13">
        <v>15000</v>
      </c>
      <c r="CU13">
        <v>4740000</v>
      </c>
      <c r="CX13" s="10">
        <v>45809</v>
      </c>
      <c r="CY13">
        <v>377600</v>
      </c>
      <c r="DB13" s="9" t="s">
        <v>110</v>
      </c>
      <c r="DD13">
        <v>9000</v>
      </c>
      <c r="DI13">
        <v>9000</v>
      </c>
    </row>
    <row r="14" spans="1:113">
      <c r="AF14" s="10">
        <v>45901</v>
      </c>
      <c r="AG14">
        <v>30</v>
      </c>
      <c r="AV14" s="9" t="s">
        <v>153</v>
      </c>
      <c r="AW14">
        <v>3000</v>
      </c>
      <c r="BW14" s="9" t="s">
        <v>130</v>
      </c>
      <c r="BX14">
        <v>34</v>
      </c>
      <c r="CS14" s="9" t="s">
        <v>228</v>
      </c>
      <c r="CT14">
        <v>377600</v>
      </c>
      <c r="CU14">
        <v>4740000</v>
      </c>
      <c r="CX14" s="10">
        <v>45839</v>
      </c>
      <c r="CY14">
        <v>377600</v>
      </c>
      <c r="DB14" s="9" t="s">
        <v>108</v>
      </c>
      <c r="DD14">
        <v>12000</v>
      </c>
      <c r="DI14">
        <v>12000</v>
      </c>
    </row>
    <row r="15" spans="1:113">
      <c r="AF15" s="10">
        <v>45931</v>
      </c>
      <c r="AG15">
        <v>30</v>
      </c>
      <c r="AV15" s="9" t="s">
        <v>196</v>
      </c>
      <c r="AW15">
        <v>3000</v>
      </c>
      <c r="BW15" s="9" t="s">
        <v>128</v>
      </c>
      <c r="BX15">
        <v>34</v>
      </c>
      <c r="CX15" s="10">
        <v>45870</v>
      </c>
      <c r="CY15">
        <v>377600</v>
      </c>
      <c r="DB15" s="9" t="s">
        <v>129</v>
      </c>
      <c r="DC15">
        <v>2000</v>
      </c>
      <c r="DI15">
        <v>2000</v>
      </c>
    </row>
    <row r="16" spans="1:113">
      <c r="AF16" s="10">
        <v>45962</v>
      </c>
      <c r="AG16">
        <v>30</v>
      </c>
      <c r="AV16" s="9" t="s">
        <v>147</v>
      </c>
      <c r="AW16">
        <v>2500</v>
      </c>
      <c r="BW16" s="9" t="s">
        <v>119</v>
      </c>
      <c r="BX16">
        <v>34</v>
      </c>
      <c r="CX16" s="10">
        <v>45901</v>
      </c>
      <c r="CY16">
        <v>377600</v>
      </c>
      <c r="DB16" s="9" t="s">
        <v>130</v>
      </c>
      <c r="DC16">
        <v>1800</v>
      </c>
      <c r="DI16">
        <v>1800</v>
      </c>
    </row>
    <row r="17" spans="32:113">
      <c r="AF17" s="10">
        <v>45992</v>
      </c>
      <c r="AG17">
        <v>30</v>
      </c>
      <c r="AV17" s="9" t="s">
        <v>197</v>
      </c>
      <c r="AW17">
        <v>2000</v>
      </c>
      <c r="BW17" s="9" t="s">
        <v>105</v>
      </c>
      <c r="BX17">
        <v>34</v>
      </c>
      <c r="CX17" s="10">
        <v>45931</v>
      </c>
      <c r="CY17">
        <v>377600</v>
      </c>
      <c r="DB17" s="9" t="s">
        <v>128</v>
      </c>
      <c r="DC17">
        <v>12000</v>
      </c>
      <c r="DI17">
        <v>12000</v>
      </c>
    </row>
    <row r="18" spans="32:113">
      <c r="AF18" s="9" t="s">
        <v>228</v>
      </c>
      <c r="AG18">
        <v>30</v>
      </c>
      <c r="AV18" s="9" t="s">
        <v>192</v>
      </c>
      <c r="AW18">
        <v>2000</v>
      </c>
      <c r="BW18" s="9" t="s">
        <v>122</v>
      </c>
      <c r="BX18">
        <v>34</v>
      </c>
      <c r="CX18" s="10">
        <v>45962</v>
      </c>
      <c r="CY18">
        <v>377600</v>
      </c>
      <c r="DB18" s="9" t="s">
        <v>119</v>
      </c>
      <c r="DG18">
        <v>6000</v>
      </c>
      <c r="DI18">
        <v>6000</v>
      </c>
    </row>
    <row r="19" spans="32:113">
      <c r="AV19" s="9" t="s">
        <v>158</v>
      </c>
      <c r="AW19">
        <v>1500</v>
      </c>
      <c r="BW19" s="9" t="s">
        <v>102</v>
      </c>
      <c r="BX19">
        <v>34</v>
      </c>
      <c r="CX19" s="10">
        <v>45992</v>
      </c>
      <c r="CY19">
        <v>377600</v>
      </c>
      <c r="DB19" s="9" t="s">
        <v>105</v>
      </c>
      <c r="DC19">
        <v>7500</v>
      </c>
      <c r="DI19">
        <v>7500</v>
      </c>
    </row>
    <row r="20" spans="32:113">
      <c r="AV20" s="9" t="s">
        <v>183</v>
      </c>
      <c r="AW20">
        <v>1500</v>
      </c>
      <c r="BW20" s="9" t="s">
        <v>124</v>
      </c>
      <c r="BX20">
        <v>34</v>
      </c>
      <c r="CX20" s="9" t="s">
        <v>228</v>
      </c>
      <c r="CY20">
        <v>377600</v>
      </c>
      <c r="DB20" s="9" t="s">
        <v>122</v>
      </c>
      <c r="DH20">
        <v>6000</v>
      </c>
      <c r="DI20">
        <v>6000</v>
      </c>
    </row>
    <row r="21" spans="32:113">
      <c r="AV21" s="9" t="s">
        <v>160</v>
      </c>
      <c r="AW21">
        <v>1500</v>
      </c>
      <c r="BW21" s="9" t="s">
        <v>104</v>
      </c>
      <c r="BX21">
        <v>34</v>
      </c>
      <c r="DB21" s="9" t="s">
        <v>102</v>
      </c>
      <c r="DC21">
        <v>50000</v>
      </c>
      <c r="DI21">
        <v>50000</v>
      </c>
    </row>
    <row r="22" spans="32:113">
      <c r="AV22" s="9" t="s">
        <v>178</v>
      </c>
      <c r="AW22">
        <v>1000</v>
      </c>
      <c r="BW22" s="9" t="s">
        <v>106</v>
      </c>
      <c r="BX22">
        <v>34</v>
      </c>
      <c r="DB22" s="9" t="s">
        <v>124</v>
      </c>
      <c r="DC22">
        <v>4500</v>
      </c>
      <c r="DI22">
        <v>4500</v>
      </c>
    </row>
    <row r="23" spans="32:113">
      <c r="AV23" s="9" t="s">
        <v>187</v>
      </c>
      <c r="AW23">
        <v>1000</v>
      </c>
      <c r="BW23" s="9" t="s">
        <v>114</v>
      </c>
      <c r="BX23">
        <v>34</v>
      </c>
      <c r="DB23" s="9" t="s">
        <v>104</v>
      </c>
      <c r="DC23">
        <v>28000</v>
      </c>
      <c r="DI23">
        <v>28000</v>
      </c>
    </row>
    <row r="24" spans="32:113">
      <c r="AV24" s="9" t="s">
        <v>200</v>
      </c>
      <c r="AW24">
        <v>1000</v>
      </c>
      <c r="BW24" s="9" t="s">
        <v>132</v>
      </c>
      <c r="BX24">
        <v>34</v>
      </c>
      <c r="DB24" s="9" t="s">
        <v>106</v>
      </c>
      <c r="DC24">
        <v>2400</v>
      </c>
      <c r="DI24">
        <v>2400</v>
      </c>
    </row>
    <row r="25" spans="32:113">
      <c r="AV25" s="9" t="s">
        <v>173</v>
      </c>
      <c r="AW25">
        <v>800</v>
      </c>
      <c r="BW25" s="9" t="s">
        <v>115</v>
      </c>
      <c r="BX25">
        <v>34</v>
      </c>
      <c r="DB25" s="9" t="s">
        <v>114</v>
      </c>
      <c r="DE25">
        <v>1500</v>
      </c>
      <c r="DI25">
        <v>1500</v>
      </c>
    </row>
    <row r="26" spans="32:113">
      <c r="AV26" s="9" t="s">
        <v>186</v>
      </c>
      <c r="AW26">
        <v>750</v>
      </c>
      <c r="BW26" s="9" t="s">
        <v>107</v>
      </c>
      <c r="BX26">
        <v>34</v>
      </c>
      <c r="DB26" s="9" t="s">
        <v>132</v>
      </c>
      <c r="DC26">
        <v>8000</v>
      </c>
      <c r="DI26">
        <v>8000</v>
      </c>
    </row>
    <row r="27" spans="32:113">
      <c r="AV27" s="9" t="s">
        <v>167</v>
      </c>
      <c r="AW27">
        <v>500</v>
      </c>
      <c r="BW27" s="9" t="s">
        <v>126</v>
      </c>
      <c r="BX27">
        <v>34</v>
      </c>
      <c r="DB27" s="9" t="s">
        <v>115</v>
      </c>
      <c r="DF27">
        <v>1200</v>
      </c>
      <c r="DI27">
        <v>1200</v>
      </c>
    </row>
    <row r="28" spans="32:113">
      <c r="AV28" s="9" t="s">
        <v>170</v>
      </c>
      <c r="AW28">
        <v>200</v>
      </c>
      <c r="BW28" s="9" t="s">
        <v>127</v>
      </c>
      <c r="BX28">
        <v>34</v>
      </c>
      <c r="DB28" s="9" t="s">
        <v>107</v>
      </c>
      <c r="DC28">
        <v>18000</v>
      </c>
      <c r="DI28">
        <v>18000</v>
      </c>
    </row>
    <row r="29" spans="32:113">
      <c r="AV29" s="9" t="s">
        <v>228</v>
      </c>
      <c r="AW29">
        <v>76150</v>
      </c>
      <c r="BW29" s="9" t="s">
        <v>117</v>
      </c>
      <c r="BX29">
        <v>34</v>
      </c>
      <c r="DB29" s="9" t="s">
        <v>126</v>
      </c>
      <c r="DC29">
        <v>38000</v>
      </c>
      <c r="DI29">
        <v>38000</v>
      </c>
    </row>
    <row r="30" spans="32:113">
      <c r="BW30" s="9" t="s">
        <v>133</v>
      </c>
      <c r="BX30">
        <v>34</v>
      </c>
      <c r="DB30" s="9" t="s">
        <v>127</v>
      </c>
      <c r="DC30">
        <v>6000</v>
      </c>
      <c r="DI30">
        <v>6000</v>
      </c>
    </row>
    <row r="31" spans="32:113">
      <c r="BW31" s="9" t="s">
        <v>121</v>
      </c>
      <c r="BX31">
        <v>34</v>
      </c>
      <c r="DB31" s="9" t="s">
        <v>117</v>
      </c>
      <c r="DF31">
        <v>10000</v>
      </c>
      <c r="DI31">
        <v>10000</v>
      </c>
    </row>
    <row r="32" spans="32:113">
      <c r="BW32" s="9" t="s">
        <v>134</v>
      </c>
      <c r="BX32">
        <v>34</v>
      </c>
      <c r="DB32" s="9" t="s">
        <v>133</v>
      </c>
      <c r="DC32">
        <v>45000</v>
      </c>
      <c r="DI32">
        <v>45000</v>
      </c>
    </row>
    <row r="33" spans="75:113">
      <c r="BW33" s="9" t="s">
        <v>131</v>
      </c>
      <c r="BX33">
        <v>34</v>
      </c>
      <c r="DB33" s="9" t="s">
        <v>121</v>
      </c>
      <c r="DG33">
        <v>32000</v>
      </c>
      <c r="DI33">
        <v>32000</v>
      </c>
    </row>
    <row r="34" spans="75:113">
      <c r="BW34" s="9" t="s">
        <v>125</v>
      </c>
      <c r="BX34">
        <v>34</v>
      </c>
      <c r="DB34" s="9" t="s">
        <v>134</v>
      </c>
      <c r="DC34">
        <v>7000</v>
      </c>
      <c r="DI34">
        <v>7000</v>
      </c>
    </row>
    <row r="35" spans="75:113">
      <c r="BW35" s="9" t="s">
        <v>120</v>
      </c>
      <c r="BX35">
        <v>34</v>
      </c>
      <c r="DB35" s="9" t="s">
        <v>131</v>
      </c>
      <c r="DC35">
        <v>15000</v>
      </c>
      <c r="DI35">
        <v>15000</v>
      </c>
    </row>
    <row r="36" spans="75:113">
      <c r="BW36" s="9" t="s">
        <v>118</v>
      </c>
      <c r="BX36">
        <v>34</v>
      </c>
      <c r="DB36" s="9" t="s">
        <v>125</v>
      </c>
      <c r="DC36">
        <v>2500</v>
      </c>
      <c r="DI36">
        <v>2500</v>
      </c>
    </row>
    <row r="37" spans="75:113">
      <c r="BW37" s="9" t="s">
        <v>112</v>
      </c>
      <c r="BX37">
        <v>34</v>
      </c>
      <c r="DB37" s="9" t="s">
        <v>120</v>
      </c>
      <c r="DG37">
        <v>22000</v>
      </c>
      <c r="DI37">
        <v>22000</v>
      </c>
    </row>
    <row r="38" spans="75:113">
      <c r="BW38" s="9" t="s">
        <v>228</v>
      </c>
      <c r="BX38">
        <v>34</v>
      </c>
      <c r="DB38" s="9" t="s">
        <v>118</v>
      </c>
      <c r="DG38">
        <v>5000</v>
      </c>
      <c r="DI38">
        <v>5000</v>
      </c>
    </row>
    <row r="39" spans="75:113">
      <c r="DB39" s="9" t="s">
        <v>112</v>
      </c>
      <c r="DE39">
        <v>7000</v>
      </c>
      <c r="DI39">
        <v>7000</v>
      </c>
    </row>
    <row r="40" spans="75:113">
      <c r="DB40" s="9" t="s">
        <v>228</v>
      </c>
      <c r="DC40">
        <v>247700</v>
      </c>
      <c r="DD40">
        <v>21000</v>
      </c>
      <c r="DE40">
        <v>14500</v>
      </c>
      <c r="DF40">
        <v>14400</v>
      </c>
      <c r="DG40">
        <v>65000</v>
      </c>
      <c r="DH40">
        <v>15000</v>
      </c>
      <c r="DI40">
        <v>377600</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3828B-0BA3-4E48-9C62-3D2EFB78A72F}">
  <dimension ref="A1:U25"/>
  <sheetViews>
    <sheetView zoomScaleNormal="100" workbookViewId="0">
      <selection activeCell="G17" sqref="G17"/>
    </sheetView>
  </sheetViews>
  <sheetFormatPr defaultRowHeight="15"/>
  <cols>
    <col min="3" max="3" width="23" bestFit="1" customWidth="1"/>
    <col min="7" max="7" width="19.42578125" bestFit="1" customWidth="1"/>
  </cols>
  <sheetData>
    <row r="1" spans="1:21">
      <c r="A1" s="16"/>
      <c r="B1" s="16"/>
      <c r="C1" s="16"/>
      <c r="D1" s="16"/>
      <c r="E1" s="16"/>
      <c r="F1" s="16"/>
      <c r="G1" s="16"/>
      <c r="H1" s="16"/>
      <c r="I1" s="16"/>
      <c r="J1" s="16"/>
      <c r="K1" s="16"/>
      <c r="L1" s="16"/>
      <c r="M1" s="16"/>
      <c r="N1" s="16"/>
      <c r="O1" s="16"/>
      <c r="P1" s="16"/>
      <c r="Q1" s="16"/>
      <c r="R1" s="16"/>
    </row>
    <row r="2" spans="1:21">
      <c r="A2" s="16"/>
      <c r="B2" s="16"/>
      <c r="C2" s="16"/>
      <c r="D2" s="16"/>
      <c r="E2" s="16"/>
      <c r="F2" s="16"/>
      <c r="G2" s="16"/>
      <c r="H2" s="16"/>
      <c r="I2" s="16"/>
      <c r="J2" s="16"/>
      <c r="K2" s="16"/>
      <c r="L2" s="16"/>
      <c r="M2" s="16"/>
      <c r="N2" s="16"/>
      <c r="O2" s="16"/>
      <c r="P2" s="16"/>
      <c r="Q2" s="16"/>
      <c r="R2" s="16"/>
    </row>
    <row r="3" spans="1:21">
      <c r="A3" s="16"/>
      <c r="B3" s="16"/>
      <c r="C3" s="16"/>
      <c r="D3" s="16"/>
      <c r="E3" s="16"/>
      <c r="F3" s="16"/>
      <c r="G3" s="16"/>
      <c r="H3" s="16"/>
      <c r="I3" s="16"/>
      <c r="J3" s="16"/>
      <c r="K3" s="16"/>
      <c r="L3" s="16"/>
      <c r="M3" s="16"/>
      <c r="N3" s="16"/>
      <c r="O3" s="16"/>
      <c r="P3" s="16"/>
      <c r="Q3" s="16"/>
      <c r="R3" s="16"/>
    </row>
    <row r="4" spans="1:21">
      <c r="A4" s="16"/>
      <c r="B4" s="16"/>
      <c r="C4" s="16"/>
      <c r="D4" s="16"/>
      <c r="E4" s="16"/>
      <c r="F4" s="16"/>
      <c r="G4" s="16"/>
      <c r="H4" s="16"/>
      <c r="I4" s="16"/>
      <c r="J4" s="16"/>
      <c r="K4" s="16"/>
      <c r="L4" s="16"/>
      <c r="M4" s="16"/>
      <c r="N4" s="16"/>
      <c r="O4" s="16"/>
      <c r="P4" s="16"/>
      <c r="Q4" s="16"/>
      <c r="R4" s="16"/>
    </row>
    <row r="5" spans="1:21">
      <c r="A5" s="16"/>
      <c r="B5" s="16"/>
      <c r="C5" s="16"/>
      <c r="D5" s="16"/>
      <c r="E5" s="16"/>
      <c r="F5" s="16"/>
      <c r="G5" s="16"/>
      <c r="H5" s="16"/>
      <c r="I5" s="16"/>
      <c r="J5" s="16"/>
      <c r="K5" s="16"/>
      <c r="L5" s="16"/>
      <c r="M5" s="16"/>
      <c r="N5" s="16"/>
      <c r="O5" s="16"/>
      <c r="P5" s="16"/>
      <c r="Q5" s="16"/>
      <c r="R5" s="16"/>
    </row>
    <row r="6" spans="1:21">
      <c r="A6" s="16"/>
      <c r="B6" s="16"/>
      <c r="C6" s="16"/>
      <c r="D6" s="16"/>
      <c r="E6" s="16"/>
      <c r="F6" s="16"/>
      <c r="G6" s="16"/>
      <c r="H6" s="16"/>
      <c r="I6" s="16"/>
      <c r="J6" s="16"/>
      <c r="K6" s="16"/>
      <c r="L6" s="16"/>
      <c r="M6" s="16"/>
      <c r="N6" s="16"/>
      <c r="O6" s="16"/>
      <c r="P6" s="16"/>
      <c r="Q6" s="16"/>
      <c r="R6" s="16"/>
    </row>
    <row r="7" spans="1:21">
      <c r="A7" s="16"/>
      <c r="B7" s="16"/>
      <c r="C7" s="16"/>
      <c r="D7" s="16"/>
      <c r="E7" s="16"/>
      <c r="F7" s="16"/>
      <c r="G7" s="16"/>
      <c r="H7" s="16"/>
      <c r="I7" s="16"/>
      <c r="J7" s="16"/>
      <c r="K7" s="16"/>
      <c r="L7" s="16"/>
      <c r="M7" s="16"/>
      <c r="N7" s="16"/>
      <c r="O7" s="16"/>
      <c r="P7" s="16"/>
      <c r="Q7" s="16"/>
      <c r="R7" s="16"/>
    </row>
    <row r="8" spans="1:21" ht="21">
      <c r="A8" s="16"/>
      <c r="B8" s="16"/>
      <c r="C8" s="16" t="s">
        <v>237</v>
      </c>
      <c r="D8" s="16"/>
      <c r="E8" s="16"/>
      <c r="F8" s="16"/>
      <c r="G8" s="21" t="s">
        <v>238</v>
      </c>
      <c r="H8" s="16"/>
      <c r="I8" s="16"/>
      <c r="J8" s="16"/>
      <c r="K8" s="16"/>
      <c r="L8" s="16"/>
      <c r="M8" s="16"/>
      <c r="N8" s="16"/>
      <c r="O8" s="16"/>
      <c r="P8" s="16"/>
      <c r="Q8" s="16"/>
      <c r="R8" s="16"/>
    </row>
    <row r="9" spans="1:21" ht="46.5">
      <c r="A9" s="16"/>
      <c r="B9" s="16"/>
      <c r="C9" s="20">
        <f>GETPIVOTDATA("[Measures].[Total Sales]",Sheet1!$A$1)</f>
        <v>377600</v>
      </c>
      <c r="D9" s="16"/>
      <c r="E9" s="16"/>
      <c r="F9" s="16"/>
      <c r="G9" s="20">
        <f>GETPIVOTDATA("[Measures].[Total Profit]",Sheet1!$A$1)</f>
        <v>76150</v>
      </c>
      <c r="H9" s="16"/>
      <c r="I9" s="16"/>
      <c r="J9" s="16"/>
      <c r="K9" s="16"/>
      <c r="L9" s="16"/>
      <c r="M9" s="16"/>
      <c r="N9" s="16"/>
      <c r="O9" s="16"/>
      <c r="P9" s="16"/>
      <c r="Q9" s="16"/>
      <c r="R9" s="16"/>
      <c r="U9" s="19"/>
    </row>
    <row r="10" spans="1:21">
      <c r="A10" s="16"/>
      <c r="B10" s="16"/>
      <c r="C10" s="16"/>
      <c r="D10" s="16"/>
      <c r="E10" s="16"/>
      <c r="F10" s="16"/>
      <c r="G10" s="16"/>
      <c r="H10" s="16"/>
      <c r="I10" s="16"/>
      <c r="J10" s="16"/>
      <c r="K10" s="16"/>
      <c r="L10" s="16"/>
      <c r="M10" s="16"/>
      <c r="N10" s="16"/>
      <c r="O10" s="16"/>
      <c r="P10" s="16"/>
      <c r="Q10" s="16"/>
      <c r="R10" s="16"/>
    </row>
    <row r="11" spans="1:21">
      <c r="A11" s="16"/>
      <c r="B11" s="16"/>
      <c r="C11" s="16"/>
      <c r="D11" s="16"/>
      <c r="E11" s="16"/>
      <c r="F11" s="16"/>
      <c r="G11" s="16"/>
      <c r="H11" s="16"/>
      <c r="I11" s="16"/>
      <c r="J11" s="16"/>
      <c r="K11" s="16"/>
      <c r="L11" s="16"/>
      <c r="M11" s="16"/>
      <c r="N11" s="16"/>
      <c r="O11" s="16"/>
      <c r="P11" s="16"/>
      <c r="Q11" s="16"/>
      <c r="R11" s="16"/>
    </row>
    <row r="12" spans="1:21">
      <c r="A12" s="16"/>
      <c r="B12" s="16"/>
      <c r="C12" s="16"/>
      <c r="D12" s="16"/>
      <c r="E12" s="16"/>
      <c r="F12" s="16"/>
      <c r="G12" s="16"/>
      <c r="H12" s="16"/>
      <c r="I12" s="16"/>
      <c r="J12" s="16"/>
      <c r="K12" s="16"/>
      <c r="L12" s="16"/>
      <c r="M12" s="16"/>
      <c r="N12" s="16"/>
      <c r="O12" s="16"/>
      <c r="P12" s="16"/>
      <c r="Q12" s="16"/>
      <c r="R12" s="16"/>
    </row>
    <row r="13" spans="1:21">
      <c r="A13" s="16"/>
      <c r="B13" s="16"/>
      <c r="C13" s="16"/>
      <c r="D13" s="16"/>
      <c r="E13" s="16"/>
      <c r="F13" s="16"/>
      <c r="G13" s="16"/>
      <c r="H13" s="16"/>
      <c r="I13" s="16"/>
      <c r="J13" s="16"/>
      <c r="K13" s="16"/>
      <c r="L13" s="16"/>
      <c r="M13" s="16"/>
      <c r="N13" s="16"/>
      <c r="O13" s="16"/>
      <c r="P13" s="16"/>
      <c r="Q13" s="16"/>
      <c r="R13" s="16"/>
    </row>
    <row r="14" spans="1:21">
      <c r="A14" s="16"/>
      <c r="B14" s="16"/>
      <c r="C14" s="16"/>
      <c r="D14" s="16"/>
      <c r="E14" s="16"/>
      <c r="F14" s="16"/>
      <c r="G14" s="16"/>
      <c r="H14" s="16"/>
      <c r="I14" s="16"/>
      <c r="J14" s="16"/>
      <c r="K14" s="16"/>
      <c r="L14" s="16"/>
      <c r="M14" s="16"/>
      <c r="N14" s="16"/>
      <c r="O14" s="16"/>
      <c r="P14" s="16"/>
      <c r="Q14" s="16"/>
      <c r="R14" s="16"/>
    </row>
    <row r="15" spans="1:21">
      <c r="A15" s="16"/>
      <c r="B15" s="16"/>
      <c r="C15" s="16"/>
      <c r="D15" s="16"/>
      <c r="E15" s="16"/>
      <c r="F15" s="16"/>
      <c r="G15" s="16"/>
      <c r="H15" s="16"/>
      <c r="I15" s="16"/>
      <c r="J15" s="16"/>
      <c r="K15" s="16"/>
      <c r="L15" s="16"/>
      <c r="M15" s="16"/>
      <c r="N15" s="16"/>
      <c r="O15" s="16"/>
      <c r="P15" s="16"/>
      <c r="Q15" s="16"/>
      <c r="R15" s="16"/>
    </row>
    <row r="16" spans="1:21" ht="21">
      <c r="A16" s="16"/>
      <c r="B16" s="16"/>
      <c r="C16" s="21" t="s">
        <v>239</v>
      </c>
      <c r="D16" s="16"/>
      <c r="E16" s="16"/>
      <c r="F16" s="16"/>
      <c r="G16" s="21" t="s">
        <v>240</v>
      </c>
      <c r="H16" s="16"/>
      <c r="I16" s="16"/>
      <c r="J16" s="16"/>
      <c r="K16" s="16"/>
      <c r="L16" s="16"/>
      <c r="M16" s="16"/>
      <c r="N16" s="16"/>
      <c r="O16" s="16"/>
      <c r="P16" s="16"/>
      <c r="Q16" s="16"/>
      <c r="R16" s="16"/>
    </row>
    <row r="17" spans="1:18" ht="46.5">
      <c r="A17" s="16"/>
      <c r="B17" s="16"/>
      <c r="C17" s="20">
        <f>GETPIVOTDATA("[Measures].[Profit Margin %]",Sheet1!$A$1)</f>
        <v>0.20166843220338984</v>
      </c>
      <c r="D17" s="16"/>
      <c r="E17" s="16"/>
      <c r="F17" s="16"/>
      <c r="G17" s="20">
        <f>GETPIVOTDATA("[Measures].[target Achievement %]",Sheet1!$A$1)</f>
        <v>7.9662447257383973E-2</v>
      </c>
      <c r="H17" s="16"/>
      <c r="I17" s="16"/>
      <c r="J17" s="16"/>
      <c r="K17" s="16"/>
      <c r="L17" s="16"/>
      <c r="M17" s="16"/>
      <c r="N17" s="16"/>
      <c r="O17" s="16"/>
      <c r="P17" s="16"/>
      <c r="Q17" s="16"/>
      <c r="R17" s="16"/>
    </row>
    <row r="18" spans="1:18">
      <c r="A18" s="16"/>
      <c r="B18" s="16"/>
      <c r="C18" s="16"/>
      <c r="D18" s="16"/>
      <c r="E18" s="16"/>
      <c r="F18" s="16"/>
      <c r="G18" s="16"/>
      <c r="H18" s="16"/>
      <c r="I18" s="16"/>
      <c r="J18" s="16"/>
      <c r="K18" s="16"/>
      <c r="L18" s="16"/>
      <c r="M18" s="16"/>
      <c r="N18" s="16"/>
      <c r="O18" s="16"/>
      <c r="P18" s="16"/>
      <c r="Q18" s="16"/>
      <c r="R18" s="16"/>
    </row>
    <row r="19" spans="1:18">
      <c r="A19" s="16"/>
      <c r="B19" s="16"/>
      <c r="C19" s="16"/>
      <c r="D19" s="16"/>
      <c r="E19" s="16"/>
      <c r="F19" s="16"/>
      <c r="G19" s="16"/>
      <c r="H19" s="16"/>
      <c r="I19" s="16"/>
      <c r="J19" s="16"/>
      <c r="K19" s="16"/>
      <c r="L19" s="16"/>
      <c r="M19" s="16"/>
      <c r="N19" s="16"/>
      <c r="O19" s="16"/>
      <c r="P19" s="16"/>
      <c r="Q19" s="16"/>
      <c r="R19" s="16"/>
    </row>
    <row r="20" spans="1:18">
      <c r="A20" s="16"/>
      <c r="B20" s="16"/>
      <c r="C20" s="16"/>
      <c r="D20" s="16"/>
      <c r="E20" s="16"/>
      <c r="F20" s="16"/>
      <c r="G20" s="16"/>
      <c r="H20" s="16"/>
      <c r="I20" s="16"/>
      <c r="J20" s="16"/>
      <c r="K20" s="16"/>
      <c r="L20" s="16"/>
      <c r="M20" s="16"/>
      <c r="N20" s="16"/>
      <c r="O20" s="16"/>
      <c r="P20" s="16"/>
      <c r="Q20" s="16"/>
      <c r="R20" s="16"/>
    </row>
    <row r="21" spans="1:18">
      <c r="A21" s="16"/>
      <c r="B21" s="16"/>
      <c r="C21" s="16"/>
      <c r="D21" s="16"/>
      <c r="E21" s="16"/>
      <c r="F21" s="16"/>
      <c r="G21" s="16"/>
      <c r="H21" s="16"/>
      <c r="I21" s="16"/>
      <c r="J21" s="16"/>
      <c r="K21" s="16"/>
      <c r="L21" s="16"/>
      <c r="M21" s="16"/>
      <c r="N21" s="16"/>
      <c r="O21" s="16"/>
      <c r="P21" s="16"/>
      <c r="Q21" s="16"/>
      <c r="R21" s="16"/>
    </row>
    <row r="22" spans="1:18">
      <c r="A22" s="16"/>
      <c r="B22" s="16"/>
      <c r="C22" s="16"/>
      <c r="D22" s="16"/>
      <c r="E22" s="16"/>
      <c r="F22" s="16"/>
      <c r="G22" s="16"/>
      <c r="H22" s="16"/>
      <c r="I22" s="16"/>
      <c r="J22" s="16"/>
      <c r="K22" s="16"/>
      <c r="L22" s="16"/>
      <c r="M22" s="16"/>
      <c r="N22" s="16"/>
      <c r="O22" s="16"/>
      <c r="P22" s="16"/>
      <c r="Q22" s="16"/>
      <c r="R22" s="16"/>
    </row>
    <row r="23" spans="1:18">
      <c r="A23" s="16"/>
      <c r="B23" s="16"/>
      <c r="C23" s="16"/>
      <c r="D23" s="16"/>
      <c r="E23" s="16"/>
      <c r="F23" s="16"/>
      <c r="G23" s="16"/>
      <c r="H23" s="16"/>
      <c r="I23" s="16"/>
      <c r="J23" s="16"/>
      <c r="K23" s="16"/>
      <c r="L23" s="16"/>
      <c r="M23" s="16"/>
      <c r="N23" s="16"/>
      <c r="O23" s="16"/>
      <c r="P23" s="16"/>
      <c r="Q23" s="16"/>
      <c r="R23" s="16"/>
    </row>
    <row r="24" spans="1:18">
      <c r="A24" s="16"/>
      <c r="B24" s="16"/>
      <c r="C24" s="16"/>
      <c r="D24" s="16"/>
      <c r="E24" s="16"/>
      <c r="F24" s="16"/>
      <c r="G24" s="16"/>
      <c r="H24" s="16"/>
      <c r="I24" s="16"/>
      <c r="J24" s="16"/>
      <c r="K24" s="16"/>
      <c r="L24" s="16"/>
      <c r="M24" s="16"/>
      <c r="N24" s="16"/>
      <c r="O24" s="16"/>
      <c r="P24" s="16"/>
      <c r="Q24" s="16"/>
      <c r="R24" s="16"/>
    </row>
    <row r="25" spans="1:18">
      <c r="A25" s="16"/>
      <c r="B25" s="16"/>
      <c r="C25" s="16"/>
      <c r="D25" s="16"/>
      <c r="E25" s="16"/>
      <c r="F25" s="16"/>
      <c r="G25" s="16"/>
      <c r="H25" s="16"/>
      <c r="I25" s="16"/>
      <c r="J25" s="16"/>
      <c r="K25" s="16"/>
      <c r="L25" s="16"/>
      <c r="M25" s="16"/>
      <c r="N25" s="16"/>
      <c r="O25" s="16"/>
      <c r="P25" s="16"/>
      <c r="Q25" s="16"/>
      <c r="R25"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9928B-1D1C-49A0-BA79-4BC111DCFD75}">
  <dimension ref="A1:U55"/>
  <sheetViews>
    <sheetView workbookViewId="0">
      <selection activeCell="U22" sqref="U22"/>
    </sheetView>
  </sheetViews>
  <sheetFormatPr defaultRowHeight="15"/>
  <sheetData>
    <row r="1" spans="1:21">
      <c r="A1" s="17"/>
      <c r="B1" s="17"/>
      <c r="C1" s="17"/>
      <c r="D1" s="17"/>
      <c r="E1" s="17"/>
      <c r="F1" s="17"/>
      <c r="G1" s="17"/>
      <c r="H1" s="17"/>
      <c r="I1" s="17"/>
      <c r="J1" s="17"/>
      <c r="K1" s="17"/>
      <c r="L1" s="17"/>
      <c r="M1" s="17"/>
      <c r="N1" s="17"/>
      <c r="O1" s="17"/>
      <c r="P1" s="17"/>
      <c r="Q1" s="17"/>
      <c r="R1" s="17"/>
      <c r="S1" s="17"/>
      <c r="T1" s="17"/>
      <c r="U1" s="17"/>
    </row>
    <row r="2" spans="1:21">
      <c r="A2" s="17"/>
      <c r="B2" s="17"/>
      <c r="C2" s="17"/>
      <c r="D2" s="17"/>
      <c r="E2" s="17"/>
      <c r="F2" s="17"/>
      <c r="G2" s="17"/>
      <c r="H2" s="17"/>
      <c r="I2" s="17"/>
      <c r="J2" s="17"/>
      <c r="K2" s="17"/>
      <c r="L2" s="17"/>
      <c r="M2" s="17"/>
      <c r="N2" s="17"/>
      <c r="O2" s="17"/>
      <c r="P2" s="17"/>
      <c r="Q2" s="17"/>
      <c r="R2" s="17"/>
      <c r="S2" s="17"/>
      <c r="T2" s="17"/>
      <c r="U2" s="17"/>
    </row>
    <row r="3" spans="1:21">
      <c r="A3" s="17"/>
      <c r="B3" s="17"/>
      <c r="C3" s="17"/>
      <c r="D3" s="17"/>
      <c r="E3" s="17"/>
      <c r="F3" s="17"/>
      <c r="G3" s="17"/>
      <c r="H3" s="17"/>
      <c r="I3" s="17"/>
      <c r="J3" s="17"/>
      <c r="K3" s="17"/>
      <c r="L3" s="17"/>
      <c r="M3" s="17"/>
      <c r="N3" s="17"/>
      <c r="O3" s="17"/>
      <c r="P3" s="17"/>
      <c r="Q3" s="17"/>
      <c r="R3" s="17"/>
      <c r="S3" s="17"/>
      <c r="T3" s="17"/>
      <c r="U3" s="17"/>
    </row>
    <row r="4" spans="1:21">
      <c r="A4" s="17"/>
      <c r="B4" s="17"/>
      <c r="C4" s="17"/>
      <c r="D4" s="17"/>
      <c r="E4" s="17"/>
      <c r="F4" s="17"/>
      <c r="G4" s="17"/>
      <c r="H4" s="17"/>
      <c r="I4" s="17"/>
      <c r="J4" s="17"/>
      <c r="K4" s="17"/>
      <c r="L4" s="17"/>
      <c r="M4" s="17"/>
      <c r="N4" s="17"/>
      <c r="O4" s="17"/>
      <c r="P4" s="17"/>
      <c r="Q4" s="17"/>
      <c r="R4" s="17"/>
      <c r="S4" s="17"/>
      <c r="T4" s="17"/>
      <c r="U4" s="17"/>
    </row>
    <row r="5" spans="1:21">
      <c r="A5" s="17"/>
      <c r="B5" s="17"/>
      <c r="C5" s="17"/>
      <c r="D5" s="17"/>
      <c r="E5" s="17"/>
      <c r="F5" s="17"/>
      <c r="G5" s="17"/>
      <c r="H5" s="17"/>
      <c r="I5" s="17"/>
      <c r="J5" s="17"/>
      <c r="K5" s="17"/>
      <c r="L5" s="17"/>
      <c r="M5" s="17"/>
      <c r="N5" s="17"/>
      <c r="O5" s="17"/>
      <c r="P5" s="17"/>
      <c r="Q5" s="17"/>
      <c r="R5" s="17"/>
      <c r="S5" s="17"/>
      <c r="T5" s="17"/>
      <c r="U5" s="17"/>
    </row>
    <row r="6" spans="1:21">
      <c r="A6" s="17"/>
      <c r="B6" s="17"/>
      <c r="C6" s="17"/>
      <c r="D6" s="17"/>
      <c r="E6" s="17"/>
      <c r="F6" s="17"/>
      <c r="G6" s="17"/>
      <c r="H6" s="17"/>
      <c r="I6" s="17"/>
      <c r="J6" s="17"/>
      <c r="K6" s="17"/>
      <c r="L6" s="17"/>
      <c r="M6" s="17"/>
      <c r="N6" s="17"/>
      <c r="O6" s="17"/>
      <c r="P6" s="17"/>
      <c r="Q6" s="17"/>
      <c r="R6" s="17"/>
      <c r="S6" s="17"/>
      <c r="T6" s="17"/>
      <c r="U6" s="17"/>
    </row>
    <row r="7" spans="1:21">
      <c r="A7" s="17"/>
      <c r="B7" s="17"/>
      <c r="C7" s="17"/>
      <c r="D7" s="17"/>
      <c r="E7" s="17"/>
      <c r="F7" s="17"/>
      <c r="G7" s="17"/>
      <c r="H7" s="17"/>
      <c r="I7" s="17"/>
      <c r="J7" s="17"/>
      <c r="K7" s="17"/>
      <c r="L7" s="17"/>
      <c r="M7" s="17"/>
      <c r="N7" s="17"/>
      <c r="O7" s="17"/>
      <c r="P7" s="17"/>
      <c r="Q7" s="17"/>
      <c r="R7" s="17"/>
      <c r="S7" s="17"/>
      <c r="T7" s="17"/>
      <c r="U7" s="17"/>
    </row>
    <row r="8" spans="1:21">
      <c r="A8" s="17"/>
      <c r="B8" s="17"/>
      <c r="C8" s="17"/>
      <c r="D8" s="17"/>
      <c r="E8" s="17"/>
      <c r="F8" s="17"/>
      <c r="G8" s="17"/>
      <c r="H8" s="17"/>
      <c r="I8" s="17"/>
      <c r="J8" s="17"/>
      <c r="K8" s="17"/>
      <c r="L8" s="17"/>
      <c r="M8" s="17"/>
      <c r="N8" s="17"/>
      <c r="O8" s="17"/>
      <c r="P8" s="17"/>
      <c r="Q8" s="17"/>
      <c r="R8" s="17"/>
      <c r="S8" s="17"/>
      <c r="T8" s="17"/>
      <c r="U8" s="17"/>
    </row>
    <row r="9" spans="1:21">
      <c r="A9" s="17"/>
      <c r="B9" s="17"/>
      <c r="C9" s="17"/>
      <c r="D9" s="17"/>
      <c r="E9" s="17"/>
      <c r="F9" s="17"/>
      <c r="G9" s="17"/>
      <c r="H9" s="17"/>
      <c r="I9" s="17"/>
      <c r="J9" s="17"/>
      <c r="K9" s="17"/>
      <c r="L9" s="17"/>
      <c r="M9" s="17"/>
      <c r="N9" s="17"/>
      <c r="O9" s="17"/>
      <c r="P9" s="17"/>
      <c r="Q9" s="17"/>
      <c r="R9" s="17"/>
      <c r="S9" s="17"/>
      <c r="T9" s="17"/>
      <c r="U9" s="17"/>
    </row>
    <row r="10" spans="1:21">
      <c r="A10" s="17"/>
      <c r="B10" s="17"/>
      <c r="C10" s="17"/>
      <c r="D10" s="17"/>
      <c r="E10" s="17"/>
      <c r="F10" s="17"/>
      <c r="G10" s="17"/>
      <c r="H10" s="17"/>
      <c r="I10" s="17"/>
      <c r="J10" s="17"/>
      <c r="K10" s="17"/>
      <c r="L10" s="17"/>
      <c r="M10" s="17"/>
      <c r="N10" s="17"/>
      <c r="O10" s="17"/>
      <c r="P10" s="17"/>
      <c r="Q10" s="17"/>
      <c r="R10" s="17"/>
      <c r="S10" s="17"/>
      <c r="T10" s="17"/>
      <c r="U10" s="17"/>
    </row>
    <row r="11" spans="1:21">
      <c r="A11" s="17"/>
      <c r="B11" s="17"/>
      <c r="C11" s="17"/>
      <c r="D11" s="17"/>
      <c r="E11" s="17"/>
      <c r="F11" s="17"/>
      <c r="G11" s="17"/>
      <c r="H11" s="17"/>
      <c r="I11" s="17"/>
      <c r="J11" s="17"/>
      <c r="K11" s="17"/>
      <c r="L11" s="17"/>
      <c r="M11" s="17"/>
      <c r="N11" s="17"/>
      <c r="O11" s="17"/>
      <c r="P11" s="17"/>
      <c r="Q11" s="17"/>
      <c r="R11" s="17"/>
      <c r="S11" s="17"/>
      <c r="T11" s="17"/>
      <c r="U11" s="17"/>
    </row>
    <row r="12" spans="1:21">
      <c r="A12" s="17"/>
      <c r="B12" s="17"/>
      <c r="C12" s="17"/>
      <c r="D12" s="17"/>
      <c r="E12" s="17"/>
      <c r="F12" s="17"/>
      <c r="G12" s="17"/>
      <c r="H12" s="17"/>
      <c r="I12" s="17"/>
      <c r="J12" s="17"/>
      <c r="K12" s="17"/>
      <c r="L12" s="17"/>
      <c r="M12" s="17"/>
      <c r="N12" s="17"/>
      <c r="O12" s="17"/>
      <c r="P12" s="17"/>
      <c r="Q12" s="17"/>
      <c r="R12" s="17"/>
      <c r="S12" s="17"/>
      <c r="T12" s="17"/>
      <c r="U12" s="17"/>
    </row>
    <row r="13" spans="1:21">
      <c r="A13" s="17"/>
      <c r="B13" s="17"/>
      <c r="C13" s="17"/>
      <c r="D13" s="17"/>
      <c r="E13" s="17"/>
      <c r="F13" s="17"/>
      <c r="G13" s="17"/>
      <c r="H13" s="17"/>
      <c r="I13" s="17"/>
      <c r="J13" s="17"/>
      <c r="K13" s="17"/>
      <c r="L13" s="17"/>
      <c r="M13" s="17"/>
      <c r="N13" s="17"/>
      <c r="O13" s="17"/>
      <c r="P13" s="17"/>
      <c r="Q13" s="17"/>
      <c r="R13" s="17"/>
      <c r="S13" s="17"/>
      <c r="T13" s="17"/>
      <c r="U13" s="17"/>
    </row>
    <row r="14" spans="1:21">
      <c r="A14" s="17"/>
      <c r="B14" s="17"/>
      <c r="C14" s="17"/>
      <c r="D14" s="17"/>
      <c r="E14" s="17"/>
      <c r="F14" s="17"/>
      <c r="G14" s="17"/>
      <c r="H14" s="17"/>
      <c r="I14" s="17"/>
      <c r="J14" s="17"/>
      <c r="K14" s="17"/>
      <c r="L14" s="17"/>
      <c r="M14" s="17"/>
      <c r="N14" s="17"/>
      <c r="O14" s="17"/>
      <c r="P14" s="17"/>
      <c r="Q14" s="17"/>
      <c r="R14" s="17"/>
      <c r="S14" s="17"/>
      <c r="T14" s="17"/>
      <c r="U14" s="17"/>
    </row>
    <row r="15" spans="1:21">
      <c r="A15" s="17"/>
      <c r="B15" s="17"/>
      <c r="C15" s="17"/>
      <c r="D15" s="17"/>
      <c r="E15" s="17"/>
      <c r="F15" s="17"/>
      <c r="G15" s="17"/>
      <c r="H15" s="17"/>
      <c r="I15" s="17"/>
      <c r="J15" s="17"/>
      <c r="K15" s="17"/>
      <c r="L15" s="17"/>
      <c r="M15" s="17"/>
      <c r="N15" s="17"/>
      <c r="O15" s="17"/>
      <c r="P15" s="17"/>
      <c r="Q15" s="17"/>
      <c r="R15" s="17"/>
      <c r="S15" s="17"/>
      <c r="T15" s="17"/>
      <c r="U15" s="17"/>
    </row>
    <row r="16" spans="1:21">
      <c r="A16" s="17"/>
      <c r="B16" s="17"/>
      <c r="C16" s="17"/>
      <c r="D16" s="17"/>
      <c r="E16" s="17"/>
      <c r="F16" s="17"/>
      <c r="G16" s="17"/>
      <c r="H16" s="17"/>
      <c r="I16" s="17"/>
      <c r="J16" s="17"/>
      <c r="K16" s="17"/>
      <c r="L16" s="17"/>
      <c r="M16" s="17"/>
      <c r="N16" s="17"/>
      <c r="O16" s="17"/>
      <c r="P16" s="17"/>
      <c r="Q16" s="17"/>
      <c r="R16" s="17"/>
      <c r="S16" s="17"/>
      <c r="T16" s="17"/>
      <c r="U16" s="17"/>
    </row>
    <row r="17" spans="1:21">
      <c r="A17" s="17"/>
      <c r="B17" s="17"/>
      <c r="C17" s="17"/>
      <c r="D17" s="17"/>
      <c r="E17" s="17"/>
      <c r="F17" s="17"/>
      <c r="G17" s="17"/>
      <c r="H17" s="17"/>
      <c r="I17" s="17"/>
      <c r="J17" s="17"/>
      <c r="K17" s="17"/>
      <c r="L17" s="17"/>
      <c r="M17" s="17"/>
      <c r="N17" s="17"/>
      <c r="O17" s="17"/>
      <c r="P17" s="17"/>
      <c r="Q17" s="17"/>
      <c r="R17" s="17"/>
      <c r="S17" s="17"/>
      <c r="T17" s="17"/>
      <c r="U17" s="17"/>
    </row>
    <row r="18" spans="1:21">
      <c r="A18" s="17"/>
      <c r="B18" s="17"/>
      <c r="C18" s="17"/>
      <c r="D18" s="17"/>
      <c r="E18" s="17"/>
      <c r="F18" s="17"/>
      <c r="G18" s="17"/>
      <c r="H18" s="17"/>
      <c r="I18" s="17"/>
      <c r="J18" s="17"/>
      <c r="K18" s="17"/>
      <c r="L18" s="17"/>
      <c r="M18" s="17"/>
      <c r="N18" s="17"/>
      <c r="O18" s="17"/>
      <c r="P18" s="17"/>
      <c r="Q18" s="17"/>
      <c r="R18" s="17"/>
      <c r="S18" s="17"/>
      <c r="T18" s="17"/>
      <c r="U18" s="17"/>
    </row>
    <row r="19" spans="1:21">
      <c r="A19" s="17"/>
      <c r="B19" s="17"/>
      <c r="C19" s="17"/>
      <c r="D19" s="17"/>
      <c r="E19" s="17"/>
      <c r="F19" s="17"/>
      <c r="G19" s="17"/>
      <c r="H19" s="17"/>
      <c r="I19" s="17"/>
      <c r="J19" s="17"/>
      <c r="K19" s="17"/>
      <c r="L19" s="17"/>
      <c r="M19" s="17"/>
      <c r="N19" s="17"/>
      <c r="O19" s="17"/>
      <c r="P19" s="17"/>
      <c r="Q19" s="17"/>
      <c r="R19" s="17"/>
      <c r="S19" s="17"/>
      <c r="T19" s="17"/>
      <c r="U19" s="17"/>
    </row>
    <row r="20" spans="1:21">
      <c r="A20" s="17"/>
      <c r="B20" s="17"/>
      <c r="C20" s="17"/>
      <c r="D20" s="17"/>
      <c r="E20" s="17"/>
      <c r="F20" s="17"/>
      <c r="G20" s="17"/>
      <c r="H20" s="17"/>
      <c r="I20" s="17"/>
      <c r="J20" s="17"/>
      <c r="K20" s="17"/>
      <c r="L20" s="17"/>
      <c r="M20" s="17"/>
      <c r="N20" s="17"/>
      <c r="O20" s="17"/>
      <c r="P20" s="17"/>
      <c r="Q20" s="17"/>
      <c r="R20" s="17"/>
      <c r="S20" s="17"/>
      <c r="T20" s="17"/>
      <c r="U20" s="17"/>
    </row>
    <row r="21" spans="1:21">
      <c r="A21" s="17"/>
      <c r="B21" s="17"/>
      <c r="C21" s="17"/>
      <c r="D21" s="17"/>
      <c r="E21" s="17"/>
      <c r="F21" s="17"/>
      <c r="G21" s="17"/>
      <c r="H21" s="17"/>
      <c r="I21" s="17"/>
      <c r="J21" s="17"/>
      <c r="K21" s="17"/>
      <c r="L21" s="17"/>
      <c r="M21" s="17"/>
      <c r="N21" s="17"/>
      <c r="O21" s="17"/>
      <c r="P21" s="17"/>
      <c r="Q21" s="17"/>
      <c r="R21" s="17"/>
      <c r="S21" s="17"/>
      <c r="T21" s="17"/>
      <c r="U21" s="17"/>
    </row>
    <row r="22" spans="1:21">
      <c r="A22" s="17"/>
      <c r="B22" s="17"/>
      <c r="C22" s="17"/>
      <c r="D22" s="17"/>
      <c r="E22" s="17"/>
      <c r="F22" s="17"/>
      <c r="G22" s="17"/>
      <c r="H22" s="17"/>
      <c r="I22" s="17"/>
      <c r="J22" s="17"/>
      <c r="K22" s="17"/>
      <c r="L22" s="17"/>
      <c r="M22" s="17"/>
      <c r="N22" s="17"/>
      <c r="O22" s="17"/>
      <c r="P22" s="17"/>
      <c r="Q22" s="17"/>
      <c r="R22" s="17"/>
      <c r="S22" s="17"/>
      <c r="T22" s="17"/>
      <c r="U22" s="17"/>
    </row>
    <row r="23" spans="1:21">
      <c r="A23" s="17"/>
      <c r="B23" s="17"/>
      <c r="C23" s="17"/>
      <c r="D23" s="17"/>
      <c r="E23" s="17"/>
      <c r="F23" s="17"/>
      <c r="G23" s="17"/>
      <c r="H23" s="17"/>
      <c r="I23" s="17"/>
      <c r="J23" s="17"/>
      <c r="K23" s="17"/>
      <c r="L23" s="17"/>
      <c r="M23" s="17"/>
      <c r="N23" s="17"/>
      <c r="O23" s="17"/>
      <c r="P23" s="17"/>
      <c r="Q23" s="17"/>
      <c r="R23" s="17"/>
      <c r="S23" s="17"/>
      <c r="T23" s="17"/>
      <c r="U23" s="17"/>
    </row>
    <row r="24" spans="1:21">
      <c r="A24" s="17"/>
      <c r="B24" s="17"/>
      <c r="C24" s="17"/>
      <c r="D24" s="17"/>
      <c r="E24" s="17"/>
      <c r="F24" s="17"/>
      <c r="G24" s="17"/>
      <c r="H24" s="17"/>
      <c r="I24" s="17"/>
      <c r="J24" s="17"/>
      <c r="K24" s="17"/>
      <c r="L24" s="17"/>
      <c r="M24" s="17"/>
      <c r="N24" s="17"/>
      <c r="O24" s="17"/>
      <c r="P24" s="17"/>
      <c r="Q24" s="17"/>
      <c r="R24" s="17"/>
      <c r="S24" s="17"/>
      <c r="T24" s="17"/>
      <c r="U24" s="17"/>
    </row>
    <row r="25" spans="1:21">
      <c r="A25" s="17"/>
      <c r="B25" s="17"/>
      <c r="C25" s="17"/>
      <c r="D25" s="17"/>
      <c r="E25" s="17"/>
      <c r="F25" s="17"/>
      <c r="G25" s="17"/>
      <c r="H25" s="17"/>
      <c r="I25" s="17"/>
      <c r="J25" s="17"/>
      <c r="K25" s="17"/>
      <c r="L25" s="17"/>
      <c r="M25" s="17"/>
      <c r="N25" s="17"/>
      <c r="O25" s="17"/>
      <c r="P25" s="17"/>
      <c r="Q25" s="17"/>
      <c r="R25" s="17"/>
      <c r="S25" s="17"/>
      <c r="T25" s="17"/>
      <c r="U25" s="17"/>
    </row>
    <row r="26" spans="1:21">
      <c r="A26" s="17"/>
      <c r="B26" s="17"/>
      <c r="C26" s="17"/>
      <c r="D26" s="17"/>
      <c r="E26" s="17"/>
      <c r="F26" s="17"/>
      <c r="G26" s="17"/>
      <c r="H26" s="17"/>
      <c r="I26" s="17"/>
      <c r="J26" s="17"/>
      <c r="K26" s="17"/>
      <c r="L26" s="17"/>
      <c r="M26" s="17"/>
      <c r="N26" s="17"/>
      <c r="O26" s="17"/>
      <c r="P26" s="17"/>
      <c r="Q26" s="17"/>
      <c r="R26" s="17"/>
      <c r="S26" s="17"/>
      <c r="T26" s="17"/>
      <c r="U26" s="17"/>
    </row>
    <row r="27" spans="1:21">
      <c r="A27" s="17"/>
      <c r="B27" s="17"/>
      <c r="C27" s="17"/>
      <c r="D27" s="17"/>
      <c r="E27" s="17"/>
      <c r="F27" s="17"/>
      <c r="G27" s="17"/>
      <c r="H27" s="17"/>
      <c r="I27" s="17"/>
      <c r="J27" s="17"/>
      <c r="K27" s="17"/>
      <c r="L27" s="17"/>
      <c r="M27" s="17"/>
      <c r="N27" s="17"/>
      <c r="O27" s="17"/>
      <c r="P27" s="17"/>
      <c r="Q27" s="17"/>
      <c r="R27" s="17"/>
      <c r="S27" s="17"/>
      <c r="T27" s="17"/>
      <c r="U27" s="17"/>
    </row>
    <row r="28" spans="1:21">
      <c r="A28" s="17"/>
      <c r="B28" s="17"/>
      <c r="C28" s="17"/>
      <c r="D28" s="17"/>
      <c r="E28" s="17"/>
      <c r="F28" s="17"/>
      <c r="G28" s="17"/>
      <c r="H28" s="17"/>
      <c r="I28" s="17"/>
      <c r="J28" s="17"/>
      <c r="K28" s="17"/>
      <c r="L28" s="17"/>
      <c r="M28" s="17"/>
      <c r="N28" s="17"/>
      <c r="O28" s="17"/>
      <c r="P28" s="17"/>
      <c r="Q28" s="17"/>
      <c r="R28" s="17"/>
      <c r="S28" s="17"/>
      <c r="T28" s="17"/>
      <c r="U28" s="17"/>
    </row>
    <row r="29" spans="1:21">
      <c r="A29" s="17"/>
      <c r="B29" s="17"/>
      <c r="C29" s="17"/>
      <c r="D29" s="17"/>
      <c r="E29" s="17"/>
      <c r="F29" s="17"/>
      <c r="G29" s="17"/>
      <c r="H29" s="17"/>
      <c r="I29" s="17"/>
      <c r="J29" s="17"/>
      <c r="K29" s="17"/>
      <c r="L29" s="17"/>
      <c r="M29" s="17"/>
      <c r="N29" s="17"/>
      <c r="O29" s="17"/>
      <c r="P29" s="17"/>
      <c r="Q29" s="17"/>
      <c r="R29" s="17"/>
      <c r="S29" s="17"/>
      <c r="T29" s="17"/>
      <c r="U29" s="17"/>
    </row>
    <row r="30" spans="1:21">
      <c r="A30" s="17"/>
      <c r="B30" s="17"/>
      <c r="C30" s="17"/>
      <c r="D30" s="17"/>
      <c r="E30" s="17"/>
      <c r="F30" s="17"/>
      <c r="G30" s="17"/>
      <c r="H30" s="17"/>
      <c r="I30" s="17"/>
      <c r="J30" s="17"/>
      <c r="K30" s="17"/>
      <c r="L30" s="17"/>
      <c r="M30" s="17"/>
      <c r="N30" s="17"/>
      <c r="O30" s="17"/>
      <c r="P30" s="17"/>
      <c r="Q30" s="17"/>
      <c r="R30" s="17"/>
      <c r="S30" s="17"/>
      <c r="T30" s="17"/>
      <c r="U30" s="17"/>
    </row>
    <row r="31" spans="1:21">
      <c r="A31" s="17"/>
      <c r="B31" s="17"/>
      <c r="C31" s="17"/>
      <c r="D31" s="17"/>
      <c r="E31" s="17"/>
      <c r="F31" s="17"/>
      <c r="G31" s="17"/>
      <c r="H31" s="17"/>
      <c r="I31" s="17"/>
      <c r="J31" s="17"/>
      <c r="K31" s="17"/>
      <c r="L31" s="17"/>
      <c r="M31" s="17"/>
      <c r="N31" s="17"/>
      <c r="O31" s="17"/>
      <c r="P31" s="17"/>
      <c r="Q31" s="17"/>
      <c r="R31" s="17"/>
      <c r="S31" s="17"/>
      <c r="T31" s="17"/>
      <c r="U31" s="17"/>
    </row>
    <row r="32" spans="1:21">
      <c r="A32" s="17"/>
      <c r="B32" s="17"/>
      <c r="C32" s="17"/>
      <c r="D32" s="17"/>
      <c r="E32" s="17"/>
      <c r="F32" s="17"/>
      <c r="G32" s="17"/>
      <c r="H32" s="17"/>
      <c r="I32" s="17"/>
      <c r="J32" s="17"/>
      <c r="K32" s="17"/>
      <c r="L32" s="17"/>
      <c r="M32" s="17"/>
      <c r="N32" s="17"/>
      <c r="O32" s="17"/>
      <c r="P32" s="17"/>
      <c r="Q32" s="17"/>
      <c r="R32" s="17"/>
      <c r="S32" s="17"/>
      <c r="T32" s="17"/>
      <c r="U32" s="17"/>
    </row>
    <row r="33" spans="1:21">
      <c r="A33" s="17"/>
      <c r="B33" s="17"/>
      <c r="C33" s="17"/>
      <c r="D33" s="17"/>
      <c r="E33" s="17"/>
      <c r="F33" s="17"/>
      <c r="G33" s="17"/>
      <c r="H33" s="17"/>
      <c r="I33" s="17"/>
      <c r="J33" s="17"/>
      <c r="K33" s="17"/>
      <c r="L33" s="17"/>
      <c r="M33" s="17"/>
      <c r="N33" s="17"/>
      <c r="O33" s="17"/>
      <c r="P33" s="17"/>
      <c r="Q33" s="17"/>
      <c r="R33" s="17"/>
      <c r="S33" s="17"/>
      <c r="T33" s="17"/>
      <c r="U33" s="17"/>
    </row>
    <row r="34" spans="1:21">
      <c r="A34" s="17"/>
      <c r="B34" s="17"/>
      <c r="C34" s="17"/>
      <c r="D34" s="17"/>
      <c r="E34" s="17"/>
      <c r="F34" s="17"/>
      <c r="G34" s="17"/>
      <c r="H34" s="17"/>
      <c r="I34" s="17"/>
      <c r="J34" s="17"/>
      <c r="K34" s="17"/>
      <c r="L34" s="17"/>
      <c r="M34" s="17"/>
      <c r="N34" s="17"/>
      <c r="O34" s="17"/>
      <c r="P34" s="17"/>
      <c r="Q34" s="17"/>
      <c r="R34" s="17"/>
      <c r="S34" s="17"/>
      <c r="T34" s="17"/>
      <c r="U34" s="17"/>
    </row>
    <row r="35" spans="1:21">
      <c r="A35" s="17"/>
      <c r="B35" s="17"/>
      <c r="C35" s="17"/>
      <c r="D35" s="17"/>
      <c r="E35" s="17"/>
      <c r="F35" s="17"/>
      <c r="G35" s="17"/>
      <c r="H35" s="17"/>
      <c r="I35" s="17"/>
      <c r="J35" s="17"/>
      <c r="K35" s="17"/>
      <c r="L35" s="17"/>
      <c r="M35" s="17"/>
      <c r="N35" s="17"/>
      <c r="O35" s="17"/>
      <c r="P35" s="17"/>
      <c r="Q35" s="17"/>
      <c r="R35" s="17"/>
      <c r="S35" s="17"/>
      <c r="T35" s="17"/>
      <c r="U35" s="17"/>
    </row>
    <row r="36" spans="1:21">
      <c r="A36" s="17"/>
      <c r="B36" s="17"/>
      <c r="C36" s="17"/>
      <c r="D36" s="17"/>
      <c r="E36" s="17"/>
      <c r="F36" s="17"/>
      <c r="G36" s="17"/>
      <c r="H36" s="17"/>
      <c r="I36" s="17"/>
      <c r="J36" s="17"/>
      <c r="K36" s="17"/>
      <c r="L36" s="17"/>
      <c r="M36" s="17"/>
      <c r="N36" s="17"/>
      <c r="O36" s="17"/>
      <c r="P36" s="17"/>
      <c r="Q36" s="17"/>
      <c r="R36" s="17"/>
      <c r="S36" s="17"/>
      <c r="T36" s="17"/>
      <c r="U36" s="17"/>
    </row>
    <row r="37" spans="1:21">
      <c r="A37" s="17"/>
      <c r="B37" s="17"/>
      <c r="C37" s="17"/>
      <c r="D37" s="17"/>
      <c r="E37" s="17"/>
      <c r="F37" s="17"/>
      <c r="G37" s="17"/>
      <c r="H37" s="17"/>
      <c r="I37" s="17"/>
      <c r="J37" s="17"/>
      <c r="K37" s="17"/>
      <c r="L37" s="17"/>
      <c r="M37" s="17"/>
      <c r="N37" s="17"/>
      <c r="O37" s="17"/>
      <c r="P37" s="17"/>
      <c r="Q37" s="17"/>
      <c r="R37" s="17"/>
      <c r="S37" s="17"/>
      <c r="T37" s="17"/>
      <c r="U37" s="17"/>
    </row>
    <row r="38" spans="1:21">
      <c r="A38" s="17"/>
      <c r="B38" s="17"/>
      <c r="C38" s="17"/>
      <c r="D38" s="17"/>
      <c r="E38" s="17"/>
      <c r="F38" s="17"/>
      <c r="G38" s="17"/>
      <c r="H38" s="17"/>
      <c r="I38" s="17"/>
      <c r="J38" s="17"/>
      <c r="K38" s="17"/>
      <c r="L38" s="17"/>
      <c r="M38" s="17"/>
      <c r="N38" s="17"/>
      <c r="O38" s="17"/>
      <c r="P38" s="17"/>
      <c r="Q38" s="17"/>
      <c r="R38" s="17"/>
      <c r="S38" s="17"/>
      <c r="T38" s="17"/>
      <c r="U38" s="17"/>
    </row>
    <row r="39" spans="1:21">
      <c r="A39" s="17"/>
      <c r="B39" s="17"/>
      <c r="C39" s="17"/>
      <c r="D39" s="17"/>
      <c r="E39" s="17"/>
      <c r="F39" s="17"/>
      <c r="G39" s="17"/>
      <c r="H39" s="17"/>
      <c r="I39" s="17"/>
      <c r="J39" s="17"/>
      <c r="K39" s="17"/>
      <c r="L39" s="17"/>
      <c r="M39" s="17"/>
      <c r="N39" s="17"/>
      <c r="O39" s="17"/>
      <c r="P39" s="17"/>
      <c r="Q39" s="17"/>
      <c r="R39" s="17"/>
      <c r="S39" s="17"/>
      <c r="T39" s="17"/>
      <c r="U39" s="17"/>
    </row>
    <row r="40" spans="1:21">
      <c r="A40" s="17"/>
      <c r="B40" s="17"/>
      <c r="C40" s="17"/>
      <c r="D40" s="17"/>
      <c r="E40" s="17"/>
      <c r="F40" s="17"/>
      <c r="G40" s="17"/>
      <c r="H40" s="17"/>
      <c r="I40" s="17"/>
      <c r="J40" s="17"/>
      <c r="K40" s="17"/>
      <c r="L40" s="17"/>
      <c r="M40" s="17"/>
      <c r="N40" s="17"/>
      <c r="O40" s="17"/>
      <c r="P40" s="17"/>
      <c r="Q40" s="17"/>
      <c r="R40" s="17"/>
      <c r="S40" s="17"/>
      <c r="T40" s="17"/>
      <c r="U40" s="17"/>
    </row>
    <row r="41" spans="1:21">
      <c r="A41" s="17"/>
      <c r="B41" s="17"/>
      <c r="C41" s="17"/>
      <c r="D41" s="17"/>
      <c r="E41" s="17"/>
      <c r="F41" s="17"/>
      <c r="G41" s="17"/>
      <c r="H41" s="17"/>
      <c r="I41" s="17"/>
      <c r="J41" s="17"/>
      <c r="K41" s="17"/>
      <c r="L41" s="17"/>
      <c r="M41" s="17"/>
      <c r="N41" s="17"/>
      <c r="O41" s="17"/>
      <c r="P41" s="17"/>
      <c r="Q41" s="17"/>
      <c r="R41" s="17"/>
      <c r="S41" s="17"/>
      <c r="T41" s="17"/>
      <c r="U41" s="17"/>
    </row>
    <row r="42" spans="1:21">
      <c r="A42" s="17"/>
      <c r="B42" s="17"/>
      <c r="C42" s="17"/>
      <c r="D42" s="17"/>
      <c r="E42" s="17"/>
      <c r="F42" s="17"/>
      <c r="G42" s="17"/>
      <c r="H42" s="17"/>
      <c r="I42" s="17"/>
      <c r="J42" s="17"/>
      <c r="K42" s="17"/>
      <c r="L42" s="17"/>
      <c r="M42" s="17"/>
      <c r="N42" s="17"/>
      <c r="O42" s="17"/>
      <c r="P42" s="17"/>
      <c r="Q42" s="17"/>
      <c r="R42" s="17"/>
      <c r="S42" s="17"/>
      <c r="T42" s="17"/>
      <c r="U42" s="17"/>
    </row>
    <row r="43" spans="1:21">
      <c r="A43" s="17"/>
      <c r="B43" s="17"/>
      <c r="C43" s="17"/>
      <c r="D43" s="17"/>
      <c r="E43" s="17"/>
      <c r="F43" s="17"/>
      <c r="G43" s="17"/>
      <c r="H43" s="17"/>
      <c r="I43" s="17"/>
      <c r="J43" s="17"/>
      <c r="K43" s="17"/>
      <c r="L43" s="17"/>
      <c r="M43" s="17"/>
      <c r="N43" s="17"/>
      <c r="O43" s="17"/>
      <c r="P43" s="17"/>
      <c r="Q43" s="17"/>
      <c r="R43" s="17"/>
      <c r="S43" s="17"/>
      <c r="T43" s="17"/>
      <c r="U43" s="17"/>
    </row>
    <row r="44" spans="1:21">
      <c r="A44" s="17"/>
      <c r="B44" s="17"/>
      <c r="C44" s="17"/>
      <c r="D44" s="17"/>
      <c r="E44" s="17"/>
      <c r="F44" s="17"/>
      <c r="G44" s="17"/>
      <c r="H44" s="17"/>
      <c r="I44" s="17"/>
      <c r="J44" s="17"/>
      <c r="K44" s="17"/>
      <c r="L44" s="17"/>
      <c r="M44" s="17"/>
      <c r="N44" s="17"/>
      <c r="O44" s="17"/>
      <c r="P44" s="17"/>
      <c r="Q44" s="17"/>
      <c r="R44" s="17"/>
      <c r="S44" s="17"/>
      <c r="T44" s="17"/>
      <c r="U44" s="17"/>
    </row>
    <row r="45" spans="1:21">
      <c r="A45" s="17"/>
      <c r="B45" s="17"/>
      <c r="C45" s="17"/>
      <c r="D45" s="17"/>
      <c r="E45" s="17"/>
      <c r="F45" s="17"/>
      <c r="G45" s="17"/>
      <c r="H45" s="17"/>
      <c r="I45" s="17"/>
      <c r="J45" s="17"/>
      <c r="K45" s="17"/>
      <c r="L45" s="17"/>
      <c r="M45" s="17"/>
      <c r="N45" s="17"/>
      <c r="O45" s="17"/>
      <c r="P45" s="17"/>
      <c r="Q45" s="17"/>
      <c r="R45" s="17"/>
      <c r="S45" s="17"/>
      <c r="T45" s="17"/>
      <c r="U45" s="17"/>
    </row>
    <row r="46" spans="1:21">
      <c r="A46" s="17"/>
      <c r="B46" s="17"/>
      <c r="C46" s="17"/>
      <c r="D46" s="17"/>
      <c r="E46" s="17"/>
      <c r="F46" s="17"/>
      <c r="G46" s="17"/>
      <c r="H46" s="17"/>
      <c r="I46" s="17"/>
      <c r="J46" s="17"/>
      <c r="K46" s="17"/>
      <c r="L46" s="17"/>
      <c r="M46" s="17"/>
      <c r="N46" s="17"/>
      <c r="O46" s="17"/>
      <c r="P46" s="17"/>
      <c r="Q46" s="17"/>
      <c r="R46" s="17"/>
      <c r="S46" s="17"/>
      <c r="T46" s="17"/>
      <c r="U46" s="17"/>
    </row>
    <row r="47" spans="1:21">
      <c r="A47" s="17"/>
      <c r="B47" s="17"/>
      <c r="C47" s="17"/>
      <c r="D47" s="17"/>
      <c r="E47" s="17"/>
      <c r="F47" s="17"/>
      <c r="G47" s="17"/>
      <c r="H47" s="17"/>
      <c r="I47" s="17"/>
      <c r="J47" s="17"/>
      <c r="K47" s="17"/>
      <c r="L47" s="17"/>
      <c r="M47" s="17"/>
      <c r="N47" s="17"/>
      <c r="O47" s="17"/>
      <c r="P47" s="17"/>
      <c r="Q47" s="17"/>
      <c r="R47" s="17"/>
      <c r="S47" s="17"/>
      <c r="T47" s="17"/>
      <c r="U47" s="17"/>
    </row>
    <row r="48" spans="1:21">
      <c r="A48" s="17"/>
      <c r="B48" s="17"/>
      <c r="C48" s="17"/>
      <c r="D48" s="17"/>
      <c r="E48" s="17"/>
      <c r="F48" s="17"/>
      <c r="G48" s="17"/>
      <c r="H48" s="17"/>
      <c r="I48" s="17"/>
      <c r="J48" s="17"/>
      <c r="K48" s="17"/>
      <c r="L48" s="17"/>
      <c r="M48" s="17"/>
      <c r="N48" s="17"/>
      <c r="O48" s="17"/>
      <c r="P48" s="17"/>
      <c r="Q48" s="17"/>
      <c r="R48" s="17"/>
      <c r="S48" s="17"/>
      <c r="T48" s="17"/>
      <c r="U48" s="17"/>
    </row>
    <row r="49" spans="1:21">
      <c r="A49" s="17"/>
      <c r="B49" s="17"/>
      <c r="C49" s="17"/>
      <c r="D49" s="17"/>
      <c r="E49" s="17"/>
      <c r="F49" s="17"/>
      <c r="G49" s="17"/>
      <c r="H49" s="17"/>
      <c r="I49" s="17"/>
      <c r="J49" s="17"/>
      <c r="K49" s="17"/>
      <c r="L49" s="17"/>
      <c r="M49" s="17"/>
      <c r="N49" s="17"/>
      <c r="O49" s="17"/>
      <c r="P49" s="17"/>
      <c r="Q49" s="17"/>
      <c r="R49" s="17"/>
      <c r="S49" s="17"/>
      <c r="T49" s="17"/>
      <c r="U49" s="17"/>
    </row>
    <row r="50" spans="1:21">
      <c r="A50" s="17"/>
      <c r="B50" s="17"/>
      <c r="C50" s="17"/>
      <c r="D50" s="17"/>
      <c r="E50" s="17"/>
      <c r="F50" s="17"/>
      <c r="G50" s="17"/>
      <c r="H50" s="17"/>
      <c r="I50" s="17"/>
      <c r="J50" s="17"/>
      <c r="K50" s="17"/>
      <c r="L50" s="17"/>
      <c r="M50" s="17"/>
      <c r="N50" s="17"/>
      <c r="O50" s="17"/>
      <c r="P50" s="17"/>
      <c r="Q50" s="17"/>
      <c r="R50" s="17"/>
      <c r="S50" s="17"/>
      <c r="T50" s="17"/>
      <c r="U50" s="17"/>
    </row>
    <row r="51" spans="1:21">
      <c r="A51" s="17"/>
      <c r="B51" s="17"/>
      <c r="C51" s="17"/>
      <c r="D51" s="17"/>
      <c r="E51" s="17"/>
      <c r="F51" s="17"/>
      <c r="G51" s="17"/>
      <c r="H51" s="17"/>
      <c r="I51" s="17"/>
      <c r="J51" s="17"/>
      <c r="K51" s="17"/>
      <c r="L51" s="17"/>
      <c r="M51" s="17"/>
      <c r="N51" s="17"/>
      <c r="O51" s="17"/>
      <c r="P51" s="17"/>
      <c r="Q51" s="17"/>
      <c r="R51" s="17"/>
      <c r="S51" s="17"/>
      <c r="T51" s="17"/>
      <c r="U51" s="17"/>
    </row>
    <row r="52" spans="1:21">
      <c r="A52" s="17"/>
      <c r="B52" s="17"/>
      <c r="C52" s="17"/>
      <c r="D52" s="17"/>
      <c r="E52" s="17"/>
      <c r="F52" s="17"/>
      <c r="G52" s="17"/>
      <c r="H52" s="17"/>
      <c r="I52" s="17"/>
      <c r="J52" s="17"/>
      <c r="K52" s="17"/>
      <c r="L52" s="17"/>
      <c r="M52" s="17"/>
      <c r="N52" s="17"/>
      <c r="O52" s="17"/>
      <c r="P52" s="17"/>
      <c r="Q52" s="17"/>
      <c r="R52" s="17"/>
      <c r="S52" s="17"/>
      <c r="T52" s="17"/>
      <c r="U52" s="17"/>
    </row>
    <row r="53" spans="1:21">
      <c r="A53" s="17"/>
      <c r="B53" s="17"/>
      <c r="C53" s="17"/>
      <c r="D53" s="17"/>
      <c r="E53" s="17"/>
      <c r="F53" s="17"/>
      <c r="G53" s="17"/>
      <c r="H53" s="17"/>
      <c r="I53" s="17"/>
      <c r="J53" s="17"/>
      <c r="K53" s="17"/>
      <c r="L53" s="17"/>
      <c r="M53" s="17"/>
      <c r="N53" s="17"/>
      <c r="O53" s="17"/>
      <c r="P53" s="17"/>
      <c r="Q53" s="17"/>
      <c r="R53" s="17"/>
      <c r="S53" s="17"/>
      <c r="T53" s="17"/>
      <c r="U53" s="17"/>
    </row>
    <row r="54" spans="1:21">
      <c r="A54" s="17"/>
      <c r="B54" s="17"/>
      <c r="C54" s="17"/>
      <c r="D54" s="17"/>
      <c r="E54" s="17"/>
      <c r="F54" s="17"/>
      <c r="G54" s="17"/>
      <c r="H54" s="17"/>
      <c r="I54" s="17"/>
      <c r="J54" s="17"/>
      <c r="K54" s="17"/>
      <c r="L54" s="17"/>
      <c r="M54" s="17"/>
      <c r="N54" s="17"/>
      <c r="O54" s="17"/>
      <c r="P54" s="17"/>
      <c r="Q54" s="17"/>
      <c r="R54" s="17"/>
      <c r="S54" s="17"/>
      <c r="T54" s="17"/>
      <c r="U54" s="17"/>
    </row>
    <row r="55" spans="1:21">
      <c r="A55" s="17"/>
      <c r="B55" s="17"/>
      <c r="C55" s="17"/>
      <c r="D55" s="17"/>
      <c r="E55" s="17"/>
      <c r="F55" s="17"/>
      <c r="G55" s="17"/>
      <c r="H55" s="17"/>
      <c r="I55" s="17"/>
      <c r="J55" s="17"/>
      <c r="K55" s="17"/>
      <c r="L55" s="17"/>
      <c r="M55" s="17"/>
      <c r="N55" s="17"/>
      <c r="O55" s="17"/>
      <c r="P55" s="17"/>
      <c r="Q55" s="17"/>
      <c r="R55" s="17"/>
      <c r="S55" s="17"/>
      <c r="T55" s="17"/>
      <c r="U55"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ED036-697B-4B0A-8D79-F0F4B6BC3953}">
  <dimension ref="A1:W36"/>
  <sheetViews>
    <sheetView workbookViewId="0">
      <selection activeCell="U10" sqref="U10"/>
    </sheetView>
  </sheetViews>
  <sheetFormatPr defaultRowHeight="15"/>
  <sheetData>
    <row r="1" spans="1:23">
      <c r="A1" s="7"/>
      <c r="B1" s="7"/>
      <c r="C1" s="7"/>
      <c r="D1" s="7"/>
      <c r="E1" s="7"/>
      <c r="F1" s="7"/>
      <c r="G1" s="7"/>
      <c r="H1" s="7"/>
      <c r="I1" s="7"/>
      <c r="J1" s="7"/>
      <c r="K1" s="7"/>
      <c r="L1" s="7"/>
      <c r="M1" s="7"/>
      <c r="N1" s="7"/>
      <c r="O1" s="7"/>
      <c r="P1" s="7"/>
      <c r="Q1" s="7"/>
      <c r="R1" s="7"/>
      <c r="S1" s="7"/>
      <c r="T1" s="7"/>
      <c r="U1" s="7"/>
      <c r="V1" s="7"/>
      <c r="W1" s="7"/>
    </row>
    <row r="2" spans="1:23">
      <c r="A2" s="7"/>
      <c r="B2" s="7"/>
      <c r="C2" s="7"/>
      <c r="D2" s="7"/>
      <c r="E2" s="7"/>
      <c r="F2" s="7"/>
      <c r="G2" s="7"/>
      <c r="H2" s="7"/>
      <c r="I2" s="7"/>
      <c r="J2" s="7"/>
      <c r="K2" s="7"/>
      <c r="L2" s="7"/>
      <c r="M2" s="7"/>
      <c r="N2" s="7"/>
      <c r="O2" s="7"/>
      <c r="P2" s="7"/>
      <c r="Q2" s="7"/>
      <c r="R2" s="7"/>
      <c r="S2" s="7"/>
      <c r="T2" s="7"/>
      <c r="U2" s="7"/>
      <c r="V2" s="7"/>
      <c r="W2" s="7"/>
    </row>
    <row r="3" spans="1:23">
      <c r="A3" s="7"/>
      <c r="B3" s="7"/>
      <c r="C3" s="7"/>
      <c r="D3" s="7"/>
      <c r="E3" s="7"/>
      <c r="F3" s="7"/>
      <c r="G3" s="7"/>
      <c r="H3" s="7"/>
      <c r="I3" s="7"/>
      <c r="J3" s="7"/>
      <c r="K3" s="7"/>
      <c r="L3" s="7"/>
      <c r="M3" s="7"/>
      <c r="N3" s="7"/>
      <c r="O3" s="7"/>
      <c r="P3" s="7"/>
      <c r="Q3" s="7"/>
      <c r="R3" s="7"/>
      <c r="S3" s="7"/>
      <c r="T3" s="7"/>
      <c r="U3" s="7"/>
      <c r="V3" s="7"/>
      <c r="W3" s="7"/>
    </row>
    <row r="4" spans="1:23">
      <c r="A4" s="7"/>
      <c r="B4" s="7"/>
      <c r="C4" s="7"/>
      <c r="D4" s="7"/>
      <c r="E4" s="7"/>
      <c r="F4" s="7"/>
      <c r="G4" s="7"/>
      <c r="H4" s="7"/>
      <c r="I4" s="7"/>
      <c r="J4" s="7"/>
      <c r="K4" s="7"/>
      <c r="L4" s="7"/>
      <c r="M4" s="7"/>
      <c r="N4" s="7"/>
      <c r="O4" s="7"/>
      <c r="P4" s="7"/>
      <c r="Q4" s="7"/>
      <c r="R4" s="7"/>
      <c r="S4" s="7"/>
      <c r="T4" s="7"/>
      <c r="U4" s="7"/>
      <c r="V4" s="7"/>
      <c r="W4" s="7"/>
    </row>
    <row r="5" spans="1:23">
      <c r="A5" s="7"/>
      <c r="B5" s="7"/>
      <c r="C5" s="7"/>
      <c r="D5" s="7"/>
      <c r="E5" s="7"/>
      <c r="F5" s="7"/>
      <c r="G5" s="7"/>
      <c r="H5" s="7"/>
      <c r="I5" s="7"/>
      <c r="J5" s="7"/>
      <c r="K5" s="7"/>
      <c r="L5" s="7"/>
      <c r="M5" s="7"/>
      <c r="N5" s="7"/>
      <c r="O5" s="7"/>
      <c r="P5" s="7"/>
      <c r="Q5" s="7"/>
      <c r="R5" s="7"/>
      <c r="S5" s="7"/>
      <c r="T5" s="7"/>
      <c r="U5" s="7"/>
      <c r="V5" s="7"/>
      <c r="W5" s="7"/>
    </row>
    <row r="6" spans="1:23">
      <c r="A6" s="7"/>
      <c r="B6" s="7"/>
      <c r="C6" s="7"/>
      <c r="D6" s="7"/>
      <c r="E6" s="7"/>
      <c r="F6" s="7"/>
      <c r="G6" s="7"/>
      <c r="H6" s="7"/>
      <c r="I6" s="7"/>
      <c r="J6" s="7"/>
      <c r="K6" s="7"/>
      <c r="L6" s="7"/>
      <c r="M6" s="7"/>
      <c r="N6" s="7"/>
      <c r="O6" s="7"/>
      <c r="P6" s="7"/>
      <c r="Q6" s="7"/>
      <c r="R6" s="7"/>
      <c r="S6" s="7"/>
      <c r="T6" s="7"/>
      <c r="U6" s="7"/>
      <c r="V6" s="7"/>
      <c r="W6" s="7"/>
    </row>
    <row r="7" spans="1:23">
      <c r="A7" s="7"/>
      <c r="B7" s="7"/>
      <c r="C7" s="7"/>
      <c r="D7" s="7"/>
      <c r="E7" s="7"/>
      <c r="F7" s="7"/>
      <c r="G7" s="7"/>
      <c r="H7" s="7"/>
      <c r="I7" s="7"/>
      <c r="J7" s="7"/>
      <c r="K7" s="7"/>
      <c r="L7" s="7"/>
      <c r="M7" s="7"/>
      <c r="N7" s="7"/>
      <c r="O7" s="7"/>
      <c r="P7" s="7"/>
      <c r="Q7" s="7"/>
      <c r="R7" s="7"/>
      <c r="S7" s="7"/>
      <c r="T7" s="7"/>
      <c r="U7" s="7"/>
      <c r="V7" s="7"/>
      <c r="W7" s="7"/>
    </row>
    <row r="8" spans="1:23">
      <c r="A8" s="7"/>
      <c r="B8" s="7"/>
      <c r="C8" s="7"/>
      <c r="D8" s="7"/>
      <c r="E8" s="7"/>
      <c r="F8" s="7"/>
      <c r="G8" s="7"/>
      <c r="H8" s="7"/>
      <c r="I8" s="7"/>
      <c r="J8" s="7"/>
      <c r="K8" s="7"/>
      <c r="L8" s="7"/>
      <c r="M8" s="7"/>
      <c r="N8" s="7"/>
      <c r="O8" s="7"/>
      <c r="P8" s="7"/>
      <c r="Q8" s="7"/>
      <c r="R8" s="7"/>
      <c r="S8" s="7"/>
      <c r="T8" s="7"/>
      <c r="U8" s="7"/>
      <c r="V8" s="7"/>
      <c r="W8" s="7"/>
    </row>
    <row r="9" spans="1:23">
      <c r="A9" s="7"/>
      <c r="B9" s="7"/>
      <c r="C9" s="7"/>
      <c r="D9" s="7"/>
      <c r="E9" s="7"/>
      <c r="F9" s="7"/>
      <c r="G9" s="7"/>
      <c r="H9" s="7"/>
      <c r="I9" s="7"/>
      <c r="J9" s="7"/>
      <c r="K9" s="7"/>
      <c r="L9" s="7"/>
      <c r="M9" s="7"/>
      <c r="N9" s="7"/>
      <c r="O9" s="7"/>
      <c r="P9" s="7"/>
      <c r="Q9" s="7"/>
      <c r="R9" s="7"/>
      <c r="S9" s="7"/>
      <c r="T9" s="7"/>
      <c r="U9" s="7"/>
      <c r="V9" s="7"/>
      <c r="W9" s="7"/>
    </row>
    <row r="10" spans="1:23">
      <c r="A10" s="7"/>
      <c r="B10" s="7"/>
      <c r="C10" s="7"/>
      <c r="D10" s="7"/>
      <c r="E10" s="7"/>
      <c r="F10" s="7"/>
      <c r="G10" s="7"/>
      <c r="H10" s="7"/>
      <c r="I10" s="7"/>
      <c r="J10" s="7"/>
      <c r="K10" s="7"/>
      <c r="L10" s="7"/>
      <c r="M10" s="7"/>
      <c r="N10" s="7"/>
      <c r="O10" s="7"/>
      <c r="P10" s="7"/>
      <c r="Q10" s="7"/>
      <c r="R10" s="7"/>
      <c r="S10" s="7"/>
      <c r="T10" s="7"/>
      <c r="U10" s="7"/>
      <c r="V10" s="7"/>
      <c r="W10" s="7"/>
    </row>
    <row r="11" spans="1:23">
      <c r="A11" s="7"/>
      <c r="B11" s="7"/>
      <c r="C11" s="7"/>
      <c r="D11" s="7"/>
      <c r="E11" s="7"/>
      <c r="F11" s="7"/>
      <c r="G11" s="7"/>
      <c r="H11" s="7"/>
      <c r="I11" s="7"/>
      <c r="J11" s="7"/>
      <c r="K11" s="7"/>
      <c r="L11" s="7"/>
      <c r="M11" s="7"/>
      <c r="N11" s="7"/>
      <c r="O11" s="7"/>
      <c r="P11" s="7"/>
      <c r="Q11" s="7"/>
      <c r="R11" s="7"/>
      <c r="S11" s="7"/>
      <c r="T11" s="7"/>
      <c r="U11" s="7"/>
      <c r="V11" s="7"/>
      <c r="W11" s="7"/>
    </row>
    <row r="12" spans="1:23">
      <c r="A12" s="7"/>
      <c r="B12" s="7"/>
      <c r="C12" s="7"/>
      <c r="D12" s="7"/>
      <c r="E12" s="7"/>
      <c r="F12" s="7"/>
      <c r="G12" s="7"/>
      <c r="H12" s="7"/>
      <c r="I12" s="7"/>
      <c r="J12" s="7"/>
      <c r="K12" s="7"/>
      <c r="L12" s="7"/>
      <c r="M12" s="7"/>
      <c r="N12" s="7"/>
      <c r="O12" s="7"/>
      <c r="P12" s="7"/>
      <c r="Q12" s="7"/>
      <c r="R12" s="7"/>
      <c r="S12" s="7"/>
      <c r="T12" s="7"/>
      <c r="U12" s="7"/>
      <c r="V12" s="7"/>
      <c r="W12" s="7"/>
    </row>
    <row r="13" spans="1:23">
      <c r="A13" s="7"/>
      <c r="B13" s="7"/>
      <c r="C13" s="7"/>
      <c r="D13" s="7"/>
      <c r="E13" s="7"/>
      <c r="F13" s="7"/>
      <c r="G13" s="7"/>
      <c r="H13" s="7"/>
      <c r="I13" s="7"/>
      <c r="J13" s="7"/>
      <c r="K13" s="7"/>
      <c r="L13" s="7"/>
      <c r="M13" s="7"/>
      <c r="N13" s="7"/>
      <c r="O13" s="7"/>
      <c r="P13" s="7"/>
      <c r="Q13" s="7"/>
      <c r="R13" s="7"/>
      <c r="S13" s="7"/>
      <c r="T13" s="7"/>
      <c r="U13" s="7"/>
      <c r="V13" s="7"/>
      <c r="W13" s="7"/>
    </row>
    <row r="14" spans="1:23">
      <c r="A14" s="7"/>
      <c r="B14" s="7"/>
      <c r="C14" s="7"/>
      <c r="D14" s="7"/>
      <c r="E14" s="7"/>
      <c r="F14" s="7"/>
      <c r="G14" s="7"/>
      <c r="H14" s="7"/>
      <c r="I14" s="7"/>
      <c r="J14" s="7"/>
      <c r="K14" s="7"/>
      <c r="L14" s="7"/>
      <c r="M14" s="7"/>
      <c r="N14" s="7"/>
      <c r="O14" s="7"/>
      <c r="P14" s="7"/>
      <c r="Q14" s="7"/>
      <c r="R14" s="7"/>
      <c r="S14" s="7"/>
      <c r="T14" s="7"/>
      <c r="U14" s="7"/>
      <c r="V14" s="7"/>
      <c r="W14" s="7"/>
    </row>
    <row r="15" spans="1:23">
      <c r="A15" s="7"/>
      <c r="B15" s="7"/>
      <c r="C15" s="7"/>
      <c r="D15" s="7"/>
      <c r="E15" s="7"/>
      <c r="F15" s="7"/>
      <c r="G15" s="7"/>
      <c r="H15" s="7"/>
      <c r="I15" s="7"/>
      <c r="J15" s="7"/>
      <c r="K15" s="7"/>
      <c r="L15" s="7"/>
      <c r="M15" s="7"/>
      <c r="N15" s="7"/>
      <c r="O15" s="7"/>
      <c r="P15" s="7"/>
      <c r="Q15" s="7"/>
      <c r="R15" s="7"/>
      <c r="S15" s="7"/>
      <c r="T15" s="7"/>
      <c r="U15" s="7"/>
      <c r="V15" s="7"/>
      <c r="W15" s="7"/>
    </row>
    <row r="16" spans="1:23">
      <c r="A16" s="7"/>
      <c r="B16" s="7"/>
      <c r="C16" s="7"/>
      <c r="D16" s="7"/>
      <c r="E16" s="7"/>
      <c r="F16" s="7"/>
      <c r="G16" s="7"/>
      <c r="H16" s="7"/>
      <c r="I16" s="7"/>
      <c r="J16" s="7"/>
      <c r="K16" s="7"/>
      <c r="L16" s="7"/>
      <c r="M16" s="7"/>
      <c r="N16" s="7"/>
      <c r="O16" s="7"/>
      <c r="P16" s="7"/>
      <c r="Q16" s="7"/>
      <c r="R16" s="7"/>
      <c r="S16" s="7"/>
      <c r="T16" s="7"/>
      <c r="U16" s="7"/>
      <c r="V16" s="7"/>
      <c r="W16" s="7"/>
    </row>
    <row r="17" spans="1:23">
      <c r="A17" s="7"/>
      <c r="B17" s="7"/>
      <c r="C17" s="7"/>
      <c r="D17" s="7"/>
      <c r="E17" s="7"/>
      <c r="F17" s="7"/>
      <c r="G17" s="7"/>
      <c r="H17" s="7"/>
      <c r="I17" s="7"/>
      <c r="J17" s="7"/>
      <c r="K17" s="7"/>
      <c r="L17" s="7"/>
      <c r="M17" s="7"/>
      <c r="N17" s="7"/>
      <c r="O17" s="7"/>
      <c r="P17" s="7"/>
      <c r="Q17" s="7"/>
      <c r="R17" s="7"/>
      <c r="S17" s="7"/>
      <c r="T17" s="7"/>
      <c r="U17" s="7"/>
      <c r="V17" s="7"/>
      <c r="W17" s="7"/>
    </row>
    <row r="18" spans="1:23">
      <c r="A18" s="7"/>
      <c r="B18" s="7"/>
      <c r="C18" s="7"/>
      <c r="D18" s="7"/>
      <c r="E18" s="7"/>
      <c r="F18" s="7"/>
      <c r="G18" s="7"/>
      <c r="H18" s="7"/>
      <c r="I18" s="7"/>
      <c r="J18" s="7"/>
      <c r="K18" s="7"/>
      <c r="L18" s="7"/>
      <c r="M18" s="7"/>
      <c r="N18" s="7"/>
      <c r="O18" s="7"/>
      <c r="P18" s="7"/>
      <c r="Q18" s="7"/>
      <c r="R18" s="7"/>
      <c r="S18" s="7"/>
      <c r="T18" s="7"/>
      <c r="U18" s="7"/>
      <c r="V18" s="7"/>
      <c r="W18" s="7"/>
    </row>
    <row r="19" spans="1:23">
      <c r="A19" s="7"/>
      <c r="B19" s="7"/>
      <c r="C19" s="7"/>
      <c r="D19" s="7"/>
      <c r="E19" s="7"/>
      <c r="F19" s="7"/>
      <c r="G19" s="7"/>
      <c r="H19" s="7"/>
      <c r="I19" s="7"/>
      <c r="J19" s="7"/>
      <c r="K19" s="7"/>
      <c r="L19" s="7"/>
      <c r="M19" s="7"/>
      <c r="N19" s="7"/>
      <c r="O19" s="7"/>
      <c r="P19" s="7"/>
      <c r="Q19" s="7"/>
      <c r="R19" s="7"/>
      <c r="S19" s="7"/>
      <c r="T19" s="7"/>
      <c r="U19" s="7"/>
      <c r="V19" s="7"/>
      <c r="W19" s="7"/>
    </row>
    <row r="20" spans="1:23">
      <c r="A20" s="7"/>
      <c r="B20" s="7"/>
      <c r="C20" s="7"/>
      <c r="D20" s="7"/>
      <c r="E20" s="7"/>
      <c r="F20" s="7"/>
      <c r="G20" s="7"/>
      <c r="H20" s="7"/>
      <c r="I20" s="7"/>
      <c r="J20" s="7"/>
      <c r="K20" s="7"/>
      <c r="L20" s="7"/>
      <c r="M20" s="7"/>
      <c r="N20" s="7"/>
      <c r="O20" s="7"/>
      <c r="P20" s="7"/>
      <c r="Q20" s="7"/>
      <c r="R20" s="7"/>
      <c r="S20" s="7"/>
      <c r="T20" s="7"/>
      <c r="U20" s="7"/>
      <c r="V20" s="7"/>
      <c r="W20" s="7"/>
    </row>
    <row r="21" spans="1:23">
      <c r="A21" s="7"/>
      <c r="B21" s="7"/>
      <c r="C21" s="7"/>
      <c r="D21" s="7"/>
      <c r="E21" s="7"/>
      <c r="F21" s="7"/>
      <c r="G21" s="7"/>
      <c r="H21" s="7"/>
      <c r="I21" s="7"/>
      <c r="J21" s="7"/>
      <c r="K21" s="7"/>
      <c r="L21" s="7"/>
      <c r="M21" s="7"/>
      <c r="N21" s="7"/>
      <c r="O21" s="7"/>
      <c r="P21" s="7"/>
      <c r="Q21" s="7"/>
      <c r="R21" s="7"/>
      <c r="S21" s="7"/>
      <c r="T21" s="7"/>
      <c r="U21" s="7"/>
      <c r="V21" s="7"/>
      <c r="W21" s="7"/>
    </row>
    <row r="22" spans="1:23">
      <c r="A22" s="7"/>
      <c r="B22" s="7"/>
      <c r="C22" s="7"/>
      <c r="D22" s="7"/>
      <c r="E22" s="7"/>
      <c r="F22" s="7"/>
      <c r="G22" s="7"/>
      <c r="H22" s="7"/>
      <c r="I22" s="7"/>
      <c r="J22" s="7"/>
      <c r="K22" s="7"/>
      <c r="L22" s="7"/>
      <c r="M22" s="7"/>
      <c r="N22" s="7"/>
      <c r="O22" s="7"/>
      <c r="P22" s="7"/>
      <c r="Q22" s="7"/>
      <c r="R22" s="7"/>
      <c r="S22" s="7"/>
      <c r="T22" s="7"/>
      <c r="U22" s="7"/>
      <c r="V22" s="7"/>
      <c r="W22" s="7"/>
    </row>
    <row r="23" spans="1:23">
      <c r="A23" s="7"/>
      <c r="B23" s="7"/>
      <c r="C23" s="7"/>
      <c r="D23" s="7"/>
      <c r="E23" s="7"/>
      <c r="F23" s="7"/>
      <c r="G23" s="7"/>
      <c r="H23" s="7"/>
      <c r="I23" s="7"/>
      <c r="J23" s="7"/>
      <c r="K23" s="7"/>
      <c r="L23" s="7"/>
      <c r="M23" s="7"/>
      <c r="N23" s="7"/>
      <c r="O23" s="7"/>
      <c r="P23" s="7"/>
      <c r="Q23" s="7"/>
      <c r="R23" s="7"/>
      <c r="S23" s="7"/>
      <c r="T23" s="7"/>
      <c r="U23" s="7"/>
      <c r="V23" s="7"/>
      <c r="W23" s="7"/>
    </row>
    <row r="24" spans="1:23">
      <c r="A24" s="7"/>
      <c r="B24" s="7"/>
      <c r="C24" s="7"/>
      <c r="D24" s="7"/>
      <c r="E24" s="7"/>
      <c r="F24" s="7"/>
      <c r="G24" s="7"/>
      <c r="H24" s="7"/>
      <c r="I24" s="7"/>
      <c r="J24" s="7"/>
      <c r="K24" s="7"/>
      <c r="L24" s="7"/>
      <c r="M24" s="7"/>
      <c r="N24" s="7"/>
      <c r="O24" s="7"/>
      <c r="P24" s="7"/>
      <c r="Q24" s="7"/>
      <c r="R24" s="7"/>
      <c r="S24" s="7"/>
      <c r="T24" s="7"/>
      <c r="U24" s="7"/>
      <c r="V24" s="7"/>
      <c r="W24" s="7"/>
    </row>
    <row r="25" spans="1:23">
      <c r="A25" s="7"/>
      <c r="B25" s="7"/>
      <c r="C25" s="7"/>
      <c r="D25" s="7"/>
      <c r="E25" s="7"/>
      <c r="F25" s="7"/>
      <c r="G25" s="7"/>
      <c r="H25" s="7"/>
      <c r="I25" s="7"/>
      <c r="J25" s="7"/>
      <c r="K25" s="7"/>
      <c r="L25" s="7"/>
      <c r="M25" s="7"/>
      <c r="N25" s="7"/>
      <c r="O25" s="7"/>
      <c r="P25" s="7"/>
      <c r="Q25" s="7"/>
      <c r="R25" s="7"/>
      <c r="S25" s="7"/>
      <c r="T25" s="7"/>
      <c r="U25" s="7"/>
      <c r="V25" s="7"/>
      <c r="W25" s="7"/>
    </row>
    <row r="26" spans="1:23">
      <c r="A26" s="7"/>
      <c r="B26" s="7"/>
      <c r="C26" s="7"/>
      <c r="D26" s="7"/>
      <c r="E26" s="7"/>
      <c r="F26" s="7"/>
      <c r="G26" s="7"/>
      <c r="H26" s="7"/>
      <c r="I26" s="7"/>
      <c r="J26" s="7"/>
      <c r="K26" s="7"/>
      <c r="L26" s="7"/>
      <c r="M26" s="7"/>
      <c r="N26" s="7"/>
      <c r="O26" s="7"/>
      <c r="P26" s="7"/>
      <c r="Q26" s="7"/>
      <c r="R26" s="7"/>
      <c r="S26" s="7"/>
      <c r="T26" s="7"/>
      <c r="U26" s="7"/>
      <c r="V26" s="7"/>
      <c r="W26" s="7"/>
    </row>
    <row r="27" spans="1:23">
      <c r="A27" s="7"/>
      <c r="B27" s="7"/>
      <c r="C27" s="7"/>
      <c r="D27" s="7"/>
      <c r="E27" s="7"/>
      <c r="F27" s="7"/>
      <c r="G27" s="7"/>
      <c r="H27" s="7"/>
      <c r="I27" s="7"/>
      <c r="J27" s="7"/>
      <c r="K27" s="7"/>
      <c r="L27" s="7"/>
      <c r="M27" s="7"/>
      <c r="N27" s="7"/>
      <c r="O27" s="7"/>
      <c r="P27" s="7"/>
      <c r="Q27" s="7"/>
      <c r="R27" s="7"/>
      <c r="S27" s="7"/>
      <c r="T27" s="7"/>
      <c r="U27" s="7"/>
      <c r="V27" s="7"/>
      <c r="W27" s="7"/>
    </row>
    <row r="28" spans="1:23">
      <c r="A28" s="7"/>
      <c r="B28" s="7"/>
      <c r="C28" s="7"/>
      <c r="D28" s="7"/>
      <c r="E28" s="7"/>
      <c r="F28" s="7"/>
      <c r="G28" s="7"/>
      <c r="H28" s="7"/>
      <c r="I28" s="7"/>
      <c r="J28" s="7"/>
      <c r="K28" s="7"/>
      <c r="L28" s="7"/>
      <c r="M28" s="7"/>
      <c r="N28" s="7"/>
      <c r="O28" s="7"/>
      <c r="P28" s="7"/>
      <c r="Q28" s="7"/>
      <c r="R28" s="7"/>
      <c r="S28" s="7"/>
      <c r="T28" s="7"/>
      <c r="U28" s="7"/>
      <c r="V28" s="7"/>
      <c r="W28" s="7"/>
    </row>
    <row r="29" spans="1:23">
      <c r="A29" s="7"/>
      <c r="B29" s="7"/>
      <c r="C29" s="7"/>
      <c r="D29" s="7"/>
      <c r="E29" s="7"/>
      <c r="F29" s="7"/>
      <c r="G29" s="7"/>
      <c r="H29" s="7"/>
      <c r="I29" s="7"/>
      <c r="J29" s="7"/>
      <c r="K29" s="7"/>
      <c r="L29" s="7"/>
      <c r="M29" s="7"/>
      <c r="N29" s="7"/>
      <c r="O29" s="7"/>
      <c r="P29" s="7"/>
      <c r="Q29" s="7"/>
      <c r="R29" s="7"/>
      <c r="S29" s="7"/>
      <c r="T29" s="7"/>
      <c r="U29" s="7"/>
      <c r="V29" s="7"/>
      <c r="W29" s="7"/>
    </row>
    <row r="30" spans="1:23">
      <c r="A30" s="7"/>
      <c r="B30" s="7"/>
      <c r="C30" s="7"/>
      <c r="D30" s="7"/>
      <c r="E30" s="7"/>
      <c r="F30" s="7"/>
      <c r="G30" s="7"/>
      <c r="H30" s="7"/>
      <c r="I30" s="7"/>
      <c r="J30" s="7"/>
      <c r="K30" s="7"/>
      <c r="L30" s="7"/>
      <c r="M30" s="7"/>
      <c r="N30" s="7"/>
      <c r="O30" s="7"/>
      <c r="P30" s="7"/>
      <c r="Q30" s="7"/>
      <c r="R30" s="7"/>
      <c r="S30" s="7"/>
      <c r="T30" s="7"/>
      <c r="U30" s="7"/>
      <c r="V30" s="7"/>
      <c r="W30" s="7"/>
    </row>
    <row r="31" spans="1:23">
      <c r="A31" s="7"/>
      <c r="B31" s="7"/>
      <c r="C31" s="7"/>
      <c r="D31" s="7"/>
      <c r="E31" s="7"/>
      <c r="F31" s="7"/>
      <c r="G31" s="7"/>
      <c r="H31" s="7"/>
      <c r="I31" s="7"/>
      <c r="J31" s="7"/>
      <c r="K31" s="7"/>
      <c r="L31" s="7"/>
      <c r="M31" s="7"/>
      <c r="N31" s="7"/>
      <c r="O31" s="7"/>
      <c r="P31" s="7"/>
      <c r="Q31" s="7"/>
      <c r="R31" s="7"/>
      <c r="S31" s="7"/>
      <c r="T31" s="7"/>
      <c r="U31" s="7"/>
      <c r="V31" s="7"/>
      <c r="W31" s="7"/>
    </row>
    <row r="32" spans="1:23">
      <c r="A32" s="7"/>
      <c r="B32" s="7"/>
      <c r="C32" s="7"/>
      <c r="D32" s="7"/>
      <c r="E32" s="7"/>
      <c r="F32" s="7"/>
      <c r="G32" s="7"/>
      <c r="H32" s="7"/>
      <c r="I32" s="7"/>
      <c r="J32" s="7"/>
      <c r="K32" s="7"/>
      <c r="L32" s="7"/>
      <c r="M32" s="7"/>
      <c r="N32" s="7"/>
      <c r="O32" s="7"/>
      <c r="P32" s="7"/>
      <c r="Q32" s="7"/>
      <c r="R32" s="7"/>
      <c r="S32" s="7"/>
      <c r="T32" s="7"/>
      <c r="U32" s="7"/>
      <c r="V32" s="7"/>
      <c r="W32" s="7"/>
    </row>
    <row r="33" spans="1:23">
      <c r="A33" s="7"/>
      <c r="B33" s="7"/>
      <c r="C33" s="7"/>
      <c r="D33" s="7"/>
      <c r="E33" s="7"/>
      <c r="F33" s="7"/>
      <c r="G33" s="7"/>
      <c r="H33" s="7"/>
      <c r="I33" s="7"/>
      <c r="J33" s="7"/>
      <c r="K33" s="7"/>
      <c r="L33" s="7"/>
      <c r="M33" s="7"/>
      <c r="N33" s="7"/>
      <c r="O33" s="7"/>
      <c r="P33" s="7"/>
      <c r="Q33" s="7"/>
      <c r="R33" s="7"/>
      <c r="S33" s="7"/>
      <c r="T33" s="7"/>
      <c r="U33" s="7"/>
      <c r="V33" s="7"/>
      <c r="W33" s="7"/>
    </row>
    <row r="34" spans="1:23">
      <c r="A34" s="7"/>
      <c r="B34" s="7"/>
      <c r="C34" s="7"/>
      <c r="D34" s="7"/>
      <c r="E34" s="7"/>
      <c r="F34" s="7"/>
      <c r="G34" s="7"/>
      <c r="H34" s="7"/>
      <c r="I34" s="7"/>
      <c r="J34" s="7"/>
      <c r="K34" s="7"/>
      <c r="L34" s="7"/>
      <c r="M34" s="7"/>
      <c r="N34" s="7"/>
      <c r="O34" s="7"/>
      <c r="P34" s="7"/>
      <c r="Q34" s="7"/>
      <c r="R34" s="7"/>
      <c r="S34" s="7"/>
      <c r="T34" s="7"/>
      <c r="U34" s="7"/>
      <c r="V34" s="7"/>
      <c r="W34" s="7"/>
    </row>
    <row r="35" spans="1:23">
      <c r="A35" s="7"/>
      <c r="B35" s="7"/>
      <c r="C35" s="7"/>
      <c r="D35" s="7"/>
      <c r="E35" s="7"/>
      <c r="F35" s="7"/>
      <c r="G35" s="7"/>
      <c r="H35" s="7"/>
      <c r="I35" s="7"/>
      <c r="J35" s="7"/>
      <c r="K35" s="7"/>
      <c r="L35" s="7"/>
      <c r="M35" s="7"/>
      <c r="N35" s="7"/>
      <c r="O35" s="7"/>
      <c r="P35" s="7"/>
      <c r="Q35" s="7"/>
      <c r="R35" s="7"/>
      <c r="S35" s="7"/>
      <c r="T35" s="7"/>
      <c r="U35" s="7"/>
      <c r="V35" s="7"/>
      <c r="W35" s="7"/>
    </row>
    <row r="36" spans="1:23">
      <c r="A36" s="7"/>
      <c r="B36" s="7"/>
      <c r="C36" s="7"/>
      <c r="D36" s="7"/>
      <c r="E36" s="7"/>
      <c r="F36" s="7"/>
      <c r="G36" s="7"/>
      <c r="H36" s="7"/>
      <c r="I36" s="7"/>
      <c r="J36" s="7"/>
      <c r="K36" s="7"/>
      <c r="L36" s="7"/>
      <c r="M36" s="7"/>
      <c r="N36" s="7"/>
      <c r="O36" s="7"/>
      <c r="P36" s="7"/>
      <c r="Q36" s="7"/>
      <c r="R36" s="7"/>
      <c r="S36" s="7"/>
      <c r="T36" s="7"/>
      <c r="U36" s="7"/>
      <c r="V36" s="7"/>
      <c r="W36"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A36DD-F690-4295-A1DA-E6D2C0DC9EF6}">
  <dimension ref="A1:V279"/>
  <sheetViews>
    <sheetView workbookViewId="0">
      <selection activeCell="U6" sqref="U6"/>
    </sheetView>
  </sheetViews>
  <sheetFormatPr defaultRowHeight="15"/>
  <sheetData>
    <row r="1" spans="1:22">
      <c r="A1" s="15"/>
      <c r="B1" s="15"/>
      <c r="C1" s="15"/>
      <c r="D1" s="15"/>
      <c r="E1" s="15"/>
      <c r="F1" s="15"/>
      <c r="G1" s="15"/>
      <c r="H1" s="15"/>
      <c r="I1" s="15"/>
      <c r="J1" s="15"/>
      <c r="K1" s="15"/>
      <c r="L1" s="15"/>
      <c r="M1" s="15"/>
      <c r="N1" s="15"/>
      <c r="O1" s="15"/>
      <c r="P1" s="15"/>
      <c r="Q1" s="15"/>
      <c r="R1" s="15"/>
      <c r="S1" s="22"/>
      <c r="T1" s="22"/>
      <c r="U1" s="22"/>
      <c r="V1" s="22"/>
    </row>
    <row r="2" spans="1:22">
      <c r="A2" s="15"/>
      <c r="B2" s="15"/>
      <c r="C2" s="15"/>
      <c r="D2" s="15"/>
      <c r="E2" s="15"/>
      <c r="F2" s="15"/>
      <c r="G2" s="15"/>
      <c r="H2" s="15"/>
      <c r="I2" s="15"/>
      <c r="J2" s="15"/>
      <c r="K2" s="15"/>
      <c r="L2" s="15"/>
      <c r="M2" s="15"/>
      <c r="N2" s="15"/>
      <c r="O2" s="15"/>
      <c r="P2" s="15"/>
      <c r="Q2" s="15"/>
      <c r="R2" s="15"/>
      <c r="S2" s="22"/>
      <c r="T2" s="22"/>
      <c r="U2" s="22"/>
      <c r="V2" s="22"/>
    </row>
    <row r="3" spans="1:22">
      <c r="A3" s="15"/>
      <c r="B3" s="15"/>
      <c r="C3" s="15"/>
      <c r="D3" s="15"/>
      <c r="E3" s="15"/>
      <c r="F3" s="15"/>
      <c r="G3" s="15"/>
      <c r="H3" s="15"/>
      <c r="I3" s="15"/>
      <c r="J3" s="15"/>
      <c r="K3" s="15"/>
      <c r="L3" s="15"/>
      <c r="M3" s="15"/>
      <c r="N3" s="15"/>
      <c r="O3" s="15"/>
      <c r="P3" s="15"/>
      <c r="Q3" s="15"/>
      <c r="R3" s="15"/>
      <c r="S3" s="22"/>
      <c r="T3" s="22"/>
      <c r="U3" s="22"/>
      <c r="V3" s="22"/>
    </row>
    <row r="4" spans="1:22">
      <c r="A4" s="15"/>
      <c r="B4" s="15"/>
      <c r="C4" s="15"/>
      <c r="D4" s="15"/>
      <c r="E4" s="15"/>
      <c r="F4" s="15"/>
      <c r="G4" s="15"/>
      <c r="H4" s="15"/>
      <c r="I4" s="15"/>
      <c r="J4" s="15"/>
      <c r="K4" s="15"/>
      <c r="L4" s="15"/>
      <c r="M4" s="15"/>
      <c r="N4" s="15"/>
      <c r="O4" s="15"/>
      <c r="P4" s="15"/>
      <c r="Q4" s="15"/>
      <c r="R4" s="15"/>
      <c r="S4" s="22"/>
      <c r="T4" s="22"/>
      <c r="U4" s="22"/>
      <c r="V4" s="22"/>
    </row>
    <row r="5" spans="1:22">
      <c r="A5" s="15"/>
      <c r="B5" s="15"/>
      <c r="C5" s="15"/>
      <c r="D5" s="15"/>
      <c r="E5" s="15"/>
      <c r="F5" s="15"/>
      <c r="G5" s="15"/>
      <c r="H5" s="15"/>
      <c r="I5" s="15"/>
      <c r="J5" s="15"/>
      <c r="K5" s="15"/>
      <c r="L5" s="15"/>
      <c r="M5" s="15"/>
      <c r="N5" s="15"/>
      <c r="O5" s="15"/>
      <c r="P5" s="15"/>
      <c r="Q5" s="15"/>
      <c r="R5" s="15"/>
      <c r="S5" s="22"/>
      <c r="T5" s="22"/>
      <c r="U5" s="22"/>
      <c r="V5" s="22"/>
    </row>
    <row r="6" spans="1:22">
      <c r="A6" s="15"/>
      <c r="B6" s="15"/>
      <c r="C6" s="15"/>
      <c r="D6" s="15"/>
      <c r="E6" s="15"/>
      <c r="F6" s="15"/>
      <c r="G6" s="15"/>
      <c r="H6" s="15"/>
      <c r="I6" s="15"/>
      <c r="J6" s="15"/>
      <c r="K6" s="15"/>
      <c r="L6" s="15"/>
      <c r="M6" s="15"/>
      <c r="N6" s="15"/>
      <c r="O6" s="15"/>
      <c r="P6" s="15"/>
      <c r="Q6" s="15"/>
      <c r="R6" s="15"/>
      <c r="S6" s="22"/>
      <c r="T6" s="22"/>
      <c r="U6" s="22"/>
      <c r="V6" s="22"/>
    </row>
    <row r="7" spans="1:22">
      <c r="A7" s="15"/>
      <c r="B7" s="15"/>
      <c r="C7" s="15"/>
      <c r="D7" s="15"/>
      <c r="E7" s="15"/>
      <c r="F7" s="15"/>
      <c r="G7" s="15"/>
      <c r="H7" s="15"/>
      <c r="I7" s="15"/>
      <c r="J7" s="15"/>
      <c r="K7" s="15"/>
      <c r="L7" s="15"/>
      <c r="M7" s="15"/>
      <c r="N7" s="15"/>
      <c r="O7" s="15"/>
      <c r="P7" s="15"/>
      <c r="Q7" s="15"/>
      <c r="R7" s="15"/>
      <c r="S7" s="22"/>
      <c r="T7" s="22"/>
      <c r="U7" s="22"/>
      <c r="V7" s="22"/>
    </row>
    <row r="8" spans="1:22">
      <c r="A8" s="15"/>
      <c r="B8" s="15"/>
      <c r="C8" s="15"/>
      <c r="D8" s="15"/>
      <c r="E8" s="15"/>
      <c r="F8" s="15"/>
      <c r="G8" s="15"/>
      <c r="H8" s="15"/>
      <c r="I8" s="15"/>
      <c r="J8" s="15"/>
      <c r="K8" s="15"/>
      <c r="L8" s="15"/>
      <c r="M8" s="15"/>
      <c r="N8" s="15"/>
      <c r="O8" s="15"/>
      <c r="P8" s="15"/>
      <c r="Q8" s="15"/>
      <c r="R8" s="15"/>
      <c r="S8" s="22"/>
      <c r="T8" s="22"/>
      <c r="U8" s="22"/>
      <c r="V8" s="22"/>
    </row>
    <row r="9" spans="1:22">
      <c r="A9" s="15"/>
      <c r="B9" s="15"/>
      <c r="C9" s="15"/>
      <c r="D9" s="15"/>
      <c r="E9" s="15"/>
      <c r="F9" s="15"/>
      <c r="G9" s="15"/>
      <c r="H9" s="15"/>
      <c r="I9" s="15"/>
      <c r="J9" s="15"/>
      <c r="K9" s="15"/>
      <c r="L9" s="15"/>
      <c r="M9" s="15"/>
      <c r="N9" s="15"/>
      <c r="O9" s="15"/>
      <c r="P9" s="15"/>
      <c r="Q9" s="15"/>
      <c r="R9" s="15"/>
      <c r="S9" s="22"/>
      <c r="T9" s="22"/>
      <c r="U9" s="22"/>
      <c r="V9" s="22"/>
    </row>
    <row r="10" spans="1:22">
      <c r="A10" s="15"/>
      <c r="B10" s="15"/>
      <c r="C10" s="15"/>
      <c r="D10" s="15"/>
      <c r="E10" s="15"/>
      <c r="F10" s="15"/>
      <c r="G10" s="15"/>
      <c r="H10" s="15"/>
      <c r="I10" s="15"/>
      <c r="J10" s="15"/>
      <c r="K10" s="15"/>
      <c r="L10" s="15"/>
      <c r="M10" s="15"/>
      <c r="N10" s="15"/>
      <c r="O10" s="15"/>
      <c r="P10" s="15"/>
      <c r="Q10" s="15"/>
      <c r="R10" s="15"/>
      <c r="S10" s="22"/>
      <c r="T10" s="22"/>
      <c r="U10" s="22"/>
      <c r="V10" s="22"/>
    </row>
    <row r="11" spans="1:22">
      <c r="A11" s="15"/>
      <c r="B11" s="15"/>
      <c r="C11" s="15"/>
      <c r="D11" s="15"/>
      <c r="E11" s="15"/>
      <c r="F11" s="15"/>
      <c r="G11" s="15"/>
      <c r="H11" s="15"/>
      <c r="I11" s="15"/>
      <c r="J11" s="15"/>
      <c r="K11" s="15"/>
      <c r="L11" s="15"/>
      <c r="M11" s="15"/>
      <c r="N11" s="15"/>
      <c r="O11" s="15"/>
      <c r="P11" s="15"/>
      <c r="Q11" s="15"/>
      <c r="R11" s="15"/>
      <c r="S11" s="22"/>
      <c r="T11" s="22"/>
      <c r="U11" s="22"/>
      <c r="V11" s="22"/>
    </row>
    <row r="12" spans="1:22">
      <c r="A12" s="15"/>
      <c r="B12" s="15"/>
      <c r="C12" s="15"/>
      <c r="D12" s="15"/>
      <c r="E12" s="15"/>
      <c r="F12" s="15"/>
      <c r="G12" s="15"/>
      <c r="H12" s="15"/>
      <c r="I12" s="15"/>
      <c r="J12" s="15"/>
      <c r="K12" s="15"/>
      <c r="L12" s="15"/>
      <c r="M12" s="15"/>
      <c r="N12" s="15"/>
      <c r="O12" s="15"/>
      <c r="P12" s="15"/>
      <c r="Q12" s="15"/>
      <c r="R12" s="15"/>
      <c r="S12" s="22"/>
      <c r="T12" s="22"/>
      <c r="U12" s="22"/>
      <c r="V12" s="22"/>
    </row>
    <row r="13" spans="1:22">
      <c r="A13" s="15"/>
      <c r="B13" s="15"/>
      <c r="C13" s="15"/>
      <c r="D13" s="15"/>
      <c r="E13" s="15"/>
      <c r="F13" s="15"/>
      <c r="G13" s="15"/>
      <c r="H13" s="15"/>
      <c r="I13" s="15"/>
      <c r="J13" s="15"/>
      <c r="K13" s="15"/>
      <c r="L13" s="15"/>
      <c r="M13" s="15"/>
      <c r="N13" s="15"/>
      <c r="O13" s="15"/>
      <c r="P13" s="15"/>
      <c r="Q13" s="15"/>
      <c r="R13" s="15"/>
      <c r="S13" s="22"/>
      <c r="T13" s="22"/>
      <c r="U13" s="22"/>
      <c r="V13" s="22"/>
    </row>
    <row r="14" spans="1:22">
      <c r="A14" s="15"/>
      <c r="B14" s="15"/>
      <c r="C14" s="15"/>
      <c r="D14" s="15"/>
      <c r="E14" s="15"/>
      <c r="F14" s="15"/>
      <c r="G14" s="15"/>
      <c r="H14" s="15"/>
      <c r="I14" s="15"/>
      <c r="J14" s="15"/>
      <c r="K14" s="15"/>
      <c r="L14" s="15"/>
      <c r="M14" s="15"/>
      <c r="N14" s="15"/>
      <c r="O14" s="15"/>
      <c r="P14" s="15"/>
      <c r="Q14" s="15"/>
      <c r="R14" s="15"/>
      <c r="S14" s="22"/>
      <c r="T14" s="22"/>
      <c r="U14" s="22"/>
      <c r="V14" s="22"/>
    </row>
    <row r="15" spans="1:22">
      <c r="A15" s="15"/>
      <c r="B15" s="15"/>
      <c r="C15" s="15"/>
      <c r="D15" s="15"/>
      <c r="E15" s="15"/>
      <c r="F15" s="15"/>
      <c r="G15" s="15"/>
      <c r="H15" s="15"/>
      <c r="I15" s="15"/>
      <c r="J15" s="15"/>
      <c r="K15" s="15"/>
      <c r="L15" s="15"/>
      <c r="M15" s="15"/>
      <c r="N15" s="15"/>
      <c r="O15" s="15"/>
      <c r="P15" s="15"/>
      <c r="Q15" s="15"/>
      <c r="R15" s="15"/>
      <c r="S15" s="22"/>
      <c r="T15" s="22"/>
      <c r="U15" s="22"/>
      <c r="V15" s="22"/>
    </row>
    <row r="16" spans="1:22">
      <c r="A16" s="15"/>
      <c r="B16" s="15"/>
      <c r="C16" s="15"/>
      <c r="D16" s="15"/>
      <c r="E16" s="15"/>
      <c r="F16" s="15"/>
      <c r="G16" s="15"/>
      <c r="H16" s="15"/>
      <c r="I16" s="15"/>
      <c r="J16" s="15"/>
      <c r="K16" s="15"/>
      <c r="L16" s="15"/>
      <c r="M16" s="15"/>
      <c r="N16" s="15"/>
      <c r="O16" s="15"/>
      <c r="P16" s="15"/>
      <c r="Q16" s="15"/>
      <c r="R16" s="15"/>
      <c r="S16" s="22"/>
      <c r="T16" s="22"/>
      <c r="U16" s="22"/>
      <c r="V16" s="22"/>
    </row>
    <row r="17" spans="1:22">
      <c r="A17" s="15"/>
      <c r="B17" s="15"/>
      <c r="C17" s="15"/>
      <c r="D17" s="15"/>
      <c r="E17" s="15"/>
      <c r="F17" s="15"/>
      <c r="G17" s="15"/>
      <c r="H17" s="15"/>
      <c r="I17" s="15"/>
      <c r="J17" s="15"/>
      <c r="K17" s="15"/>
      <c r="L17" s="15"/>
      <c r="M17" s="15"/>
      <c r="N17" s="15"/>
      <c r="O17" s="15"/>
      <c r="P17" s="15"/>
      <c r="Q17" s="15"/>
      <c r="R17" s="15"/>
      <c r="S17" s="22"/>
      <c r="T17" s="22"/>
      <c r="U17" s="22"/>
      <c r="V17" s="22"/>
    </row>
    <row r="18" spans="1:22">
      <c r="A18" s="15"/>
      <c r="B18" s="15"/>
      <c r="C18" s="15"/>
      <c r="D18" s="15"/>
      <c r="E18" s="15"/>
      <c r="F18" s="15"/>
      <c r="G18" s="15"/>
      <c r="H18" s="15"/>
      <c r="I18" s="15"/>
      <c r="J18" s="15"/>
      <c r="K18" s="15"/>
      <c r="L18" s="15"/>
      <c r="M18" s="15"/>
      <c r="N18" s="15"/>
      <c r="O18" s="15"/>
      <c r="P18" s="15"/>
      <c r="Q18" s="15"/>
      <c r="R18" s="15"/>
      <c r="S18" s="22"/>
      <c r="T18" s="22"/>
      <c r="U18" s="22"/>
      <c r="V18" s="22"/>
    </row>
    <row r="19" spans="1:22">
      <c r="A19" s="15"/>
      <c r="B19" s="15"/>
      <c r="C19" s="15"/>
      <c r="D19" s="15"/>
      <c r="E19" s="15"/>
      <c r="F19" s="15"/>
      <c r="G19" s="15"/>
      <c r="H19" s="15"/>
      <c r="I19" s="15"/>
      <c r="J19" s="15"/>
      <c r="K19" s="15"/>
      <c r="L19" s="15"/>
      <c r="M19" s="15"/>
      <c r="N19" s="15"/>
      <c r="O19" s="15"/>
      <c r="P19" s="15"/>
      <c r="Q19" s="15"/>
      <c r="R19" s="15"/>
      <c r="S19" s="22"/>
      <c r="T19" s="22"/>
      <c r="U19" s="22"/>
      <c r="V19" s="22"/>
    </row>
    <row r="20" spans="1:22">
      <c r="A20" s="15"/>
      <c r="B20" s="15"/>
      <c r="C20" s="15"/>
      <c r="D20" s="15"/>
      <c r="E20" s="15"/>
      <c r="F20" s="15"/>
      <c r="G20" s="15"/>
      <c r="H20" s="15"/>
      <c r="I20" s="15"/>
      <c r="J20" s="15"/>
      <c r="K20" s="15"/>
      <c r="L20" s="15"/>
      <c r="M20" s="15"/>
      <c r="N20" s="15"/>
      <c r="O20" s="15"/>
      <c r="P20" s="15"/>
      <c r="Q20" s="15"/>
      <c r="R20" s="15"/>
      <c r="S20" s="22"/>
      <c r="T20" s="22"/>
      <c r="U20" s="22"/>
      <c r="V20" s="22"/>
    </row>
    <row r="21" spans="1:22">
      <c r="A21" s="15"/>
      <c r="B21" s="15"/>
      <c r="C21" s="15"/>
      <c r="D21" s="15"/>
      <c r="E21" s="15"/>
      <c r="F21" s="15"/>
      <c r="G21" s="15"/>
      <c r="H21" s="15"/>
      <c r="I21" s="15"/>
      <c r="J21" s="15"/>
      <c r="K21" s="15"/>
      <c r="L21" s="15"/>
      <c r="M21" s="15"/>
      <c r="N21" s="15"/>
      <c r="O21" s="15"/>
      <c r="P21" s="15"/>
      <c r="Q21" s="15"/>
      <c r="R21" s="15"/>
      <c r="S21" s="22"/>
      <c r="T21" s="22"/>
      <c r="U21" s="22"/>
      <c r="V21" s="22"/>
    </row>
    <row r="22" spans="1:22">
      <c r="A22" s="15"/>
      <c r="B22" s="15"/>
      <c r="C22" s="15"/>
      <c r="D22" s="15"/>
      <c r="E22" s="15"/>
      <c r="F22" s="15"/>
      <c r="G22" s="15"/>
      <c r="H22" s="15"/>
      <c r="I22" s="15"/>
      <c r="J22" s="15"/>
      <c r="K22" s="15"/>
      <c r="L22" s="15"/>
      <c r="M22" s="15"/>
      <c r="N22" s="15"/>
      <c r="O22" s="15"/>
      <c r="P22" s="15"/>
      <c r="Q22" s="15"/>
      <c r="R22" s="15"/>
      <c r="S22" s="22"/>
      <c r="T22" s="22"/>
      <c r="U22" s="22"/>
      <c r="V22" s="22"/>
    </row>
    <row r="23" spans="1:22">
      <c r="A23" s="15"/>
      <c r="B23" s="15"/>
      <c r="C23" s="15"/>
      <c r="D23" s="15"/>
      <c r="E23" s="15"/>
      <c r="F23" s="15"/>
      <c r="G23" s="15"/>
      <c r="H23" s="15"/>
      <c r="I23" s="15"/>
      <c r="J23" s="15"/>
      <c r="K23" s="15"/>
      <c r="L23" s="15"/>
      <c r="M23" s="15"/>
      <c r="N23" s="15"/>
      <c r="O23" s="15"/>
      <c r="P23" s="15"/>
      <c r="Q23" s="15"/>
      <c r="R23" s="15"/>
      <c r="S23" s="22"/>
      <c r="T23" s="22"/>
      <c r="U23" s="22"/>
      <c r="V23" s="22"/>
    </row>
    <row r="24" spans="1:22">
      <c r="A24" s="15"/>
      <c r="B24" s="15"/>
      <c r="C24" s="15"/>
      <c r="D24" s="15"/>
      <c r="E24" s="15"/>
      <c r="F24" s="15"/>
      <c r="G24" s="15"/>
      <c r="H24" s="15"/>
      <c r="I24" s="15"/>
      <c r="J24" s="15"/>
      <c r="K24" s="15"/>
      <c r="L24" s="15"/>
      <c r="M24" s="15"/>
      <c r="N24" s="15"/>
      <c r="O24" s="15"/>
      <c r="P24" s="15"/>
      <c r="Q24" s="15"/>
      <c r="R24" s="15"/>
      <c r="S24" s="22"/>
      <c r="T24" s="22"/>
      <c r="U24" s="22"/>
      <c r="V24" s="22"/>
    </row>
    <row r="25" spans="1:22">
      <c r="A25" s="15"/>
      <c r="B25" s="15"/>
      <c r="C25" s="15"/>
      <c r="D25" s="15"/>
      <c r="E25" s="15"/>
      <c r="F25" s="15"/>
      <c r="G25" s="15"/>
      <c r="H25" s="15"/>
      <c r="I25" s="15"/>
      <c r="J25" s="15"/>
      <c r="K25" s="15"/>
      <c r="L25" s="15"/>
      <c r="M25" s="15"/>
      <c r="N25" s="15"/>
      <c r="O25" s="15"/>
      <c r="P25" s="15"/>
      <c r="Q25" s="15"/>
      <c r="R25" s="15"/>
      <c r="S25" s="22"/>
      <c r="T25" s="22"/>
      <c r="U25" s="22"/>
      <c r="V25" s="22"/>
    </row>
    <row r="26" spans="1:22">
      <c r="A26" s="15"/>
      <c r="B26" s="15"/>
      <c r="C26" s="15"/>
      <c r="D26" s="15"/>
      <c r="E26" s="15"/>
      <c r="F26" s="15"/>
      <c r="G26" s="15"/>
      <c r="H26" s="15"/>
      <c r="I26" s="15"/>
      <c r="J26" s="15"/>
      <c r="K26" s="15"/>
      <c r="L26" s="15"/>
      <c r="M26" s="15"/>
      <c r="N26" s="15"/>
      <c r="O26" s="15"/>
      <c r="P26" s="15"/>
      <c r="Q26" s="15"/>
      <c r="R26" s="15"/>
      <c r="S26" s="22"/>
      <c r="T26" s="22"/>
      <c r="U26" s="22"/>
      <c r="V26" s="22"/>
    </row>
    <row r="27" spans="1:22">
      <c r="A27" s="15"/>
      <c r="B27" s="15"/>
      <c r="C27" s="15"/>
      <c r="D27" s="15"/>
      <c r="E27" s="15"/>
      <c r="F27" s="15"/>
      <c r="G27" s="15"/>
      <c r="H27" s="15"/>
      <c r="I27" s="15"/>
      <c r="J27" s="15"/>
      <c r="K27" s="15"/>
      <c r="L27" s="15"/>
      <c r="M27" s="15"/>
      <c r="N27" s="15"/>
      <c r="O27" s="15"/>
      <c r="P27" s="15"/>
      <c r="Q27" s="15"/>
      <c r="R27" s="15"/>
      <c r="S27" s="22"/>
      <c r="T27" s="22"/>
      <c r="U27" s="22"/>
      <c r="V27" s="22"/>
    </row>
    <row r="28" spans="1:22">
      <c r="A28" s="15"/>
      <c r="B28" s="15"/>
      <c r="C28" s="15"/>
      <c r="D28" s="15"/>
      <c r="E28" s="15"/>
      <c r="F28" s="15"/>
      <c r="G28" s="15"/>
      <c r="H28" s="15"/>
      <c r="I28" s="15"/>
      <c r="J28" s="15"/>
      <c r="K28" s="15"/>
      <c r="L28" s="15"/>
      <c r="M28" s="15"/>
      <c r="N28" s="15"/>
      <c r="O28" s="15"/>
      <c r="P28" s="15"/>
      <c r="Q28" s="15"/>
      <c r="R28" s="15"/>
      <c r="S28" s="22"/>
      <c r="T28" s="22"/>
      <c r="U28" s="22"/>
      <c r="V28" s="22"/>
    </row>
    <row r="29" spans="1:22">
      <c r="A29" s="15"/>
      <c r="B29" s="15"/>
      <c r="C29" s="15"/>
      <c r="D29" s="15"/>
      <c r="E29" s="15"/>
      <c r="F29" s="15"/>
      <c r="G29" s="15"/>
      <c r="H29" s="15"/>
      <c r="I29" s="15"/>
      <c r="J29" s="15"/>
      <c r="K29" s="15"/>
      <c r="L29" s="15"/>
      <c r="M29" s="15"/>
      <c r="N29" s="15"/>
      <c r="O29" s="15"/>
      <c r="P29" s="15"/>
      <c r="Q29" s="15"/>
      <c r="R29" s="15"/>
      <c r="S29" s="22"/>
      <c r="T29" s="22"/>
      <c r="U29" s="22"/>
      <c r="V29" s="22"/>
    </row>
    <row r="30" spans="1:22">
      <c r="A30" s="15"/>
      <c r="B30" s="15"/>
      <c r="C30" s="15"/>
      <c r="D30" s="15"/>
      <c r="E30" s="15"/>
      <c r="F30" s="15"/>
      <c r="G30" s="15"/>
      <c r="H30" s="15"/>
      <c r="I30" s="15"/>
      <c r="J30" s="15"/>
      <c r="K30" s="15"/>
      <c r="L30" s="15"/>
      <c r="M30" s="15"/>
      <c r="N30" s="15"/>
      <c r="O30" s="15"/>
      <c r="P30" s="15"/>
      <c r="Q30" s="15"/>
      <c r="R30" s="15"/>
      <c r="S30" s="22"/>
      <c r="T30" s="22"/>
      <c r="U30" s="22"/>
      <c r="V30" s="22"/>
    </row>
    <row r="31" spans="1:22">
      <c r="A31" s="15"/>
      <c r="B31" s="15"/>
      <c r="C31" s="15"/>
      <c r="D31" s="15"/>
      <c r="E31" s="15"/>
      <c r="F31" s="15"/>
      <c r="G31" s="15"/>
      <c r="H31" s="15"/>
      <c r="I31" s="15"/>
      <c r="J31" s="15"/>
      <c r="K31" s="15"/>
      <c r="L31" s="15"/>
      <c r="M31" s="15"/>
      <c r="N31" s="15"/>
      <c r="O31" s="15"/>
      <c r="P31" s="15"/>
      <c r="Q31" s="15"/>
      <c r="R31" s="15"/>
      <c r="S31" s="22"/>
      <c r="T31" s="22"/>
      <c r="U31" s="22"/>
      <c r="V31" s="22"/>
    </row>
    <row r="32" spans="1:22">
      <c r="A32" s="15"/>
      <c r="B32" s="15"/>
      <c r="C32" s="15"/>
      <c r="D32" s="15"/>
      <c r="E32" s="15"/>
      <c r="F32" s="15"/>
      <c r="G32" s="15"/>
      <c r="H32" s="15"/>
      <c r="I32" s="15"/>
      <c r="J32" s="15"/>
      <c r="K32" s="15"/>
      <c r="L32" s="15"/>
      <c r="M32" s="15"/>
      <c r="N32" s="15"/>
      <c r="O32" s="15"/>
      <c r="P32" s="15"/>
      <c r="Q32" s="15"/>
      <c r="R32" s="15"/>
      <c r="S32" s="22"/>
      <c r="T32" s="22"/>
      <c r="U32" s="22"/>
      <c r="V32" s="22"/>
    </row>
    <row r="33" spans="1:22">
      <c r="A33" s="15"/>
      <c r="B33" s="15"/>
      <c r="C33" s="15"/>
      <c r="D33" s="15"/>
      <c r="E33" s="15"/>
      <c r="F33" s="15"/>
      <c r="G33" s="15"/>
      <c r="H33" s="15"/>
      <c r="I33" s="15"/>
      <c r="J33" s="15"/>
      <c r="K33" s="15"/>
      <c r="L33" s="15"/>
      <c r="M33" s="15"/>
      <c r="N33" s="15"/>
      <c r="O33" s="15"/>
      <c r="P33" s="15"/>
      <c r="Q33" s="15"/>
      <c r="R33" s="15"/>
      <c r="S33" s="22"/>
      <c r="T33" s="22"/>
      <c r="U33" s="22"/>
      <c r="V33" s="22"/>
    </row>
    <row r="34" spans="1:22">
      <c r="A34" s="15"/>
      <c r="B34" s="15"/>
      <c r="C34" s="15"/>
      <c r="D34" s="15"/>
      <c r="E34" s="15"/>
      <c r="F34" s="15"/>
      <c r="G34" s="15"/>
      <c r="H34" s="15"/>
      <c r="I34" s="15"/>
      <c r="J34" s="15"/>
      <c r="K34" s="15"/>
      <c r="L34" s="15"/>
      <c r="M34" s="15"/>
      <c r="N34" s="15"/>
      <c r="O34" s="15"/>
      <c r="P34" s="15"/>
      <c r="Q34" s="15"/>
      <c r="R34" s="15"/>
      <c r="S34" s="22"/>
      <c r="T34" s="22"/>
      <c r="U34" s="22"/>
      <c r="V34" s="22"/>
    </row>
    <row r="35" spans="1:22">
      <c r="A35" s="15"/>
      <c r="B35" s="15"/>
      <c r="C35" s="15"/>
      <c r="D35" s="15"/>
      <c r="E35" s="15"/>
      <c r="F35" s="15"/>
      <c r="G35" s="15"/>
      <c r="H35" s="15"/>
      <c r="I35" s="15"/>
      <c r="J35" s="15"/>
      <c r="K35" s="15"/>
      <c r="L35" s="15"/>
      <c r="M35" s="15"/>
      <c r="N35" s="15"/>
      <c r="O35" s="15"/>
      <c r="P35" s="15"/>
      <c r="Q35" s="15"/>
      <c r="R35" s="15"/>
      <c r="S35" s="22"/>
      <c r="T35" s="22"/>
      <c r="U35" s="22"/>
      <c r="V35" s="22"/>
    </row>
    <row r="36" spans="1:22">
      <c r="A36" s="15"/>
      <c r="B36" s="15"/>
      <c r="C36" s="15"/>
      <c r="D36" s="15"/>
      <c r="E36" s="15"/>
      <c r="F36" s="15"/>
      <c r="G36" s="15"/>
      <c r="H36" s="15"/>
      <c r="I36" s="15"/>
      <c r="J36" s="15"/>
      <c r="K36" s="15"/>
      <c r="L36" s="15"/>
      <c r="M36" s="15"/>
      <c r="N36" s="15"/>
      <c r="O36" s="15"/>
      <c r="P36" s="15"/>
      <c r="Q36" s="15"/>
      <c r="R36" s="15"/>
      <c r="S36" s="22"/>
      <c r="T36" s="22"/>
      <c r="U36" s="22"/>
      <c r="V36" s="22"/>
    </row>
    <row r="37" spans="1:22">
      <c r="A37" s="15"/>
      <c r="B37" s="15"/>
      <c r="C37" s="15"/>
      <c r="D37" s="15"/>
      <c r="E37" s="15"/>
      <c r="F37" s="15"/>
      <c r="G37" s="15"/>
      <c r="H37" s="15"/>
      <c r="I37" s="15"/>
      <c r="J37" s="15"/>
      <c r="K37" s="15"/>
      <c r="L37" s="15"/>
      <c r="M37" s="15"/>
      <c r="N37" s="15"/>
      <c r="O37" s="15"/>
      <c r="P37" s="15"/>
      <c r="Q37" s="15"/>
      <c r="R37" s="15"/>
      <c r="S37" s="22"/>
      <c r="T37" s="22"/>
      <c r="U37" s="22"/>
      <c r="V37" s="22"/>
    </row>
    <row r="38" spans="1:22">
      <c r="A38" s="15"/>
      <c r="B38" s="15"/>
      <c r="C38" s="15"/>
      <c r="D38" s="15"/>
      <c r="E38" s="15"/>
      <c r="F38" s="15"/>
      <c r="G38" s="15"/>
      <c r="H38" s="15"/>
      <c r="I38" s="15"/>
      <c r="J38" s="15"/>
      <c r="K38" s="15"/>
      <c r="L38" s="15"/>
      <c r="M38" s="15"/>
      <c r="N38" s="15"/>
      <c r="O38" s="15"/>
      <c r="P38" s="15"/>
      <c r="Q38" s="15"/>
      <c r="R38" s="15"/>
      <c r="S38" s="22"/>
      <c r="T38" s="22"/>
      <c r="U38" s="22"/>
      <c r="V38" s="22"/>
    </row>
    <row r="39" spans="1:22">
      <c r="A39" s="15"/>
      <c r="B39" s="15"/>
      <c r="C39" s="15"/>
      <c r="D39" s="15"/>
      <c r="E39" s="15"/>
      <c r="F39" s="15"/>
      <c r="G39" s="15"/>
      <c r="H39" s="15"/>
      <c r="I39" s="15"/>
      <c r="J39" s="15"/>
      <c r="K39" s="15"/>
      <c r="L39" s="15"/>
      <c r="M39" s="15"/>
      <c r="N39" s="15"/>
      <c r="O39" s="15"/>
      <c r="P39" s="15"/>
      <c r="Q39" s="15"/>
      <c r="R39" s="15"/>
      <c r="S39" s="22"/>
      <c r="T39" s="22"/>
      <c r="U39" s="22"/>
      <c r="V39" s="22"/>
    </row>
    <row r="40" spans="1:22">
      <c r="A40" s="15"/>
      <c r="B40" s="15"/>
      <c r="C40" s="15"/>
      <c r="D40" s="15"/>
      <c r="E40" s="15"/>
      <c r="F40" s="15"/>
      <c r="G40" s="15"/>
      <c r="H40" s="15"/>
      <c r="I40" s="15"/>
      <c r="J40" s="15"/>
      <c r="K40" s="15"/>
      <c r="L40" s="15"/>
      <c r="M40" s="15"/>
      <c r="N40" s="15"/>
      <c r="O40" s="15"/>
      <c r="P40" s="15"/>
      <c r="Q40" s="15"/>
      <c r="R40" s="15"/>
      <c r="S40" s="22"/>
      <c r="T40" s="22"/>
      <c r="U40" s="22"/>
      <c r="V40" s="22"/>
    </row>
    <row r="41" spans="1:22">
      <c r="A41" s="15"/>
      <c r="B41" s="15"/>
      <c r="C41" s="15"/>
      <c r="D41" s="15"/>
      <c r="E41" s="15"/>
      <c r="F41" s="15"/>
      <c r="G41" s="15"/>
      <c r="H41" s="15"/>
      <c r="I41" s="15"/>
      <c r="J41" s="15"/>
      <c r="K41" s="15"/>
      <c r="L41" s="15"/>
      <c r="M41" s="15"/>
      <c r="N41" s="15"/>
      <c r="O41" s="15"/>
      <c r="P41" s="15"/>
      <c r="Q41" s="15"/>
      <c r="R41" s="15"/>
      <c r="S41" s="22"/>
      <c r="T41" s="22"/>
      <c r="U41" s="22"/>
      <c r="V41" s="22"/>
    </row>
    <row r="42" spans="1:22">
      <c r="A42" s="15"/>
      <c r="B42" s="15"/>
      <c r="C42" s="15"/>
      <c r="D42" s="15"/>
      <c r="E42" s="15"/>
      <c r="F42" s="15"/>
      <c r="G42" s="15"/>
      <c r="H42" s="15"/>
      <c r="I42" s="15"/>
      <c r="J42" s="15"/>
      <c r="K42" s="15"/>
      <c r="L42" s="15"/>
      <c r="M42" s="15"/>
      <c r="N42" s="15"/>
      <c r="O42" s="15"/>
      <c r="P42" s="15"/>
      <c r="Q42" s="15"/>
      <c r="R42" s="15"/>
      <c r="S42" s="22"/>
      <c r="T42" s="22"/>
      <c r="U42" s="22"/>
      <c r="V42" s="22"/>
    </row>
    <row r="43" spans="1:22">
      <c r="A43" s="15"/>
      <c r="B43" s="15"/>
      <c r="C43" s="15"/>
      <c r="D43" s="15"/>
      <c r="E43" s="15"/>
      <c r="F43" s="15"/>
      <c r="G43" s="15"/>
      <c r="H43" s="15"/>
      <c r="I43" s="15"/>
      <c r="J43" s="15"/>
      <c r="K43" s="15"/>
      <c r="L43" s="15"/>
      <c r="M43" s="15"/>
      <c r="N43" s="15"/>
      <c r="O43" s="15"/>
      <c r="P43" s="15"/>
      <c r="Q43" s="15"/>
      <c r="R43" s="15"/>
      <c r="S43" s="22"/>
      <c r="T43" s="22"/>
      <c r="U43" s="22"/>
      <c r="V43" s="22"/>
    </row>
    <row r="44" spans="1:22">
      <c r="A44" s="15"/>
      <c r="B44" s="15"/>
      <c r="C44" s="15"/>
      <c r="D44" s="15"/>
      <c r="E44" s="15"/>
      <c r="F44" s="15"/>
      <c r="G44" s="15"/>
      <c r="H44" s="15"/>
      <c r="I44" s="15"/>
      <c r="J44" s="15"/>
      <c r="K44" s="15"/>
      <c r="L44" s="15"/>
      <c r="M44" s="15"/>
      <c r="N44" s="15"/>
      <c r="O44" s="15"/>
      <c r="P44" s="15"/>
      <c r="Q44" s="15"/>
      <c r="R44" s="15"/>
      <c r="S44" s="22"/>
      <c r="T44" s="22"/>
      <c r="U44" s="22"/>
      <c r="V44" s="22"/>
    </row>
    <row r="45" spans="1:22">
      <c r="A45" s="15"/>
      <c r="B45" s="15"/>
      <c r="C45" s="15"/>
      <c r="D45" s="15"/>
      <c r="E45" s="15"/>
      <c r="F45" s="15"/>
      <c r="G45" s="15"/>
      <c r="H45" s="15"/>
      <c r="I45" s="15"/>
      <c r="J45" s="15"/>
      <c r="K45" s="15"/>
      <c r="L45" s="15"/>
      <c r="M45" s="15"/>
      <c r="N45" s="15"/>
      <c r="O45" s="15"/>
      <c r="P45" s="15"/>
      <c r="Q45" s="15"/>
      <c r="R45" s="15"/>
      <c r="S45" s="22"/>
      <c r="T45" s="22"/>
      <c r="U45" s="22"/>
      <c r="V45" s="22"/>
    </row>
    <row r="46" spans="1:22">
      <c r="A46" s="15"/>
      <c r="B46" s="15"/>
      <c r="C46" s="15"/>
      <c r="D46" s="15"/>
      <c r="E46" s="15"/>
      <c r="F46" s="15"/>
      <c r="G46" s="15"/>
      <c r="H46" s="15"/>
      <c r="I46" s="15"/>
      <c r="J46" s="15"/>
      <c r="K46" s="15"/>
      <c r="L46" s="15"/>
      <c r="M46" s="15"/>
      <c r="N46" s="15"/>
      <c r="O46" s="15"/>
      <c r="P46" s="15"/>
      <c r="Q46" s="15"/>
      <c r="R46" s="15"/>
      <c r="S46" s="22"/>
      <c r="T46" s="22"/>
      <c r="U46" s="22"/>
      <c r="V46" s="22"/>
    </row>
    <row r="47" spans="1:22">
      <c r="A47" s="15"/>
      <c r="B47" s="15"/>
      <c r="C47" s="15"/>
      <c r="D47" s="15"/>
      <c r="E47" s="15"/>
      <c r="F47" s="15"/>
      <c r="G47" s="15"/>
      <c r="H47" s="15"/>
      <c r="I47" s="15"/>
      <c r="J47" s="15"/>
      <c r="K47" s="15"/>
      <c r="L47" s="15"/>
      <c r="M47" s="15"/>
      <c r="N47" s="15"/>
      <c r="O47" s="15"/>
      <c r="P47" s="15"/>
      <c r="Q47" s="15"/>
      <c r="R47" s="15"/>
      <c r="S47" s="22"/>
      <c r="T47" s="22"/>
      <c r="U47" s="22"/>
      <c r="V47" s="22"/>
    </row>
    <row r="48" spans="1:22">
      <c r="A48" s="15"/>
      <c r="B48" s="15"/>
      <c r="C48" s="15"/>
      <c r="D48" s="15"/>
      <c r="E48" s="15"/>
      <c r="F48" s="15"/>
      <c r="G48" s="15"/>
      <c r="H48" s="15"/>
      <c r="I48" s="15"/>
      <c r="J48" s="15"/>
      <c r="K48" s="15"/>
      <c r="L48" s="15"/>
      <c r="M48" s="15"/>
      <c r="N48" s="15"/>
      <c r="O48" s="15"/>
      <c r="P48" s="15"/>
      <c r="Q48" s="15"/>
      <c r="R48" s="15"/>
      <c r="S48" s="22"/>
      <c r="T48" s="22"/>
      <c r="U48" s="22"/>
      <c r="V48" s="22"/>
    </row>
    <row r="49" spans="1:22">
      <c r="A49" s="15"/>
      <c r="B49" s="15"/>
      <c r="C49" s="15"/>
      <c r="D49" s="15"/>
      <c r="E49" s="15"/>
      <c r="F49" s="15"/>
      <c r="G49" s="15"/>
      <c r="H49" s="15"/>
      <c r="I49" s="15"/>
      <c r="J49" s="15"/>
      <c r="K49" s="15"/>
      <c r="L49" s="15"/>
      <c r="M49" s="15"/>
      <c r="N49" s="15"/>
      <c r="O49" s="15"/>
      <c r="P49" s="15"/>
      <c r="Q49" s="15"/>
      <c r="R49" s="15"/>
      <c r="S49" s="22"/>
      <c r="T49" s="22"/>
      <c r="U49" s="22"/>
      <c r="V49" s="22"/>
    </row>
    <row r="50" spans="1:22">
      <c r="A50" s="15"/>
      <c r="B50" s="15"/>
      <c r="C50" s="15"/>
      <c r="D50" s="15"/>
      <c r="E50" s="15"/>
      <c r="F50" s="15"/>
      <c r="G50" s="15"/>
      <c r="H50" s="15"/>
      <c r="I50" s="15"/>
      <c r="J50" s="15"/>
      <c r="K50" s="15"/>
      <c r="L50" s="15"/>
      <c r="M50" s="15"/>
      <c r="N50" s="15"/>
      <c r="O50" s="15"/>
      <c r="P50" s="15"/>
      <c r="Q50" s="15"/>
      <c r="R50" s="15"/>
      <c r="S50" s="22"/>
      <c r="T50" s="22"/>
      <c r="U50" s="22"/>
      <c r="V50" s="22"/>
    </row>
    <row r="51" spans="1:22">
      <c r="A51" s="15"/>
      <c r="B51" s="15"/>
      <c r="C51" s="15"/>
      <c r="D51" s="15"/>
      <c r="E51" s="15"/>
      <c r="F51" s="15"/>
      <c r="G51" s="15"/>
      <c r="H51" s="15"/>
      <c r="I51" s="15"/>
      <c r="J51" s="15"/>
      <c r="K51" s="15"/>
      <c r="L51" s="15"/>
      <c r="M51" s="15"/>
      <c r="N51" s="15"/>
      <c r="O51" s="15"/>
      <c r="P51" s="15"/>
      <c r="Q51" s="15"/>
      <c r="R51" s="15"/>
      <c r="S51" s="22"/>
      <c r="T51" s="22"/>
      <c r="U51" s="22"/>
      <c r="V51" s="22"/>
    </row>
    <row r="52" spans="1:22">
      <c r="A52" s="15"/>
      <c r="B52" s="15"/>
      <c r="C52" s="15"/>
      <c r="D52" s="15"/>
      <c r="E52" s="15"/>
      <c r="F52" s="15"/>
      <c r="G52" s="15"/>
      <c r="H52" s="15"/>
      <c r="I52" s="15"/>
      <c r="J52" s="15"/>
      <c r="K52" s="15"/>
      <c r="L52" s="15"/>
      <c r="M52" s="15"/>
      <c r="N52" s="15"/>
      <c r="O52" s="15"/>
      <c r="P52" s="15"/>
      <c r="Q52" s="15"/>
      <c r="R52" s="15"/>
      <c r="S52" s="22"/>
      <c r="T52" s="22"/>
      <c r="U52" s="22"/>
      <c r="V52" s="22"/>
    </row>
    <row r="53" spans="1:22">
      <c r="A53" s="15"/>
      <c r="B53" s="15"/>
      <c r="C53" s="15"/>
      <c r="D53" s="15"/>
      <c r="E53" s="15"/>
      <c r="F53" s="15"/>
      <c r="G53" s="15"/>
      <c r="H53" s="15"/>
      <c r="I53" s="15"/>
      <c r="J53" s="15"/>
      <c r="K53" s="15"/>
      <c r="L53" s="15"/>
      <c r="M53" s="15"/>
      <c r="N53" s="15"/>
      <c r="O53" s="15"/>
      <c r="P53" s="15"/>
      <c r="Q53" s="15"/>
      <c r="R53" s="15"/>
      <c r="S53" s="22"/>
      <c r="T53" s="22"/>
      <c r="U53" s="22"/>
      <c r="V53" s="22"/>
    </row>
    <row r="54" spans="1:22">
      <c r="A54" s="15"/>
      <c r="B54" s="15"/>
      <c r="C54" s="15"/>
      <c r="D54" s="15"/>
      <c r="E54" s="15"/>
      <c r="F54" s="15"/>
      <c r="G54" s="15"/>
      <c r="H54" s="15"/>
      <c r="I54" s="15"/>
      <c r="J54" s="15"/>
      <c r="K54" s="15"/>
      <c r="L54" s="15"/>
      <c r="M54" s="15"/>
      <c r="N54" s="15"/>
      <c r="O54" s="15"/>
      <c r="P54" s="15"/>
      <c r="Q54" s="15"/>
      <c r="R54" s="15"/>
      <c r="S54" s="22"/>
      <c r="T54" s="22"/>
      <c r="U54" s="22"/>
      <c r="V54" s="22"/>
    </row>
    <row r="55" spans="1:22">
      <c r="A55" s="15"/>
      <c r="B55" s="15"/>
      <c r="C55" s="15"/>
      <c r="D55" s="15"/>
      <c r="E55" s="15"/>
      <c r="F55" s="15"/>
      <c r="G55" s="15"/>
      <c r="H55" s="15"/>
      <c r="I55" s="15"/>
      <c r="J55" s="15"/>
      <c r="K55" s="15"/>
      <c r="L55" s="15"/>
      <c r="M55" s="15"/>
      <c r="N55" s="15"/>
      <c r="O55" s="15"/>
      <c r="P55" s="15"/>
      <c r="Q55" s="15"/>
      <c r="R55" s="15"/>
      <c r="S55" s="22"/>
      <c r="T55" s="22"/>
      <c r="U55" s="22"/>
      <c r="V55" s="22"/>
    </row>
    <row r="56" spans="1:22">
      <c r="A56" s="15"/>
      <c r="B56" s="15"/>
      <c r="C56" s="15"/>
      <c r="D56" s="15"/>
      <c r="E56" s="15"/>
      <c r="F56" s="15"/>
      <c r="G56" s="15"/>
      <c r="H56" s="15"/>
      <c r="I56" s="15"/>
      <c r="J56" s="15"/>
      <c r="K56" s="15"/>
      <c r="L56" s="15"/>
      <c r="M56" s="15"/>
      <c r="N56" s="15"/>
      <c r="O56" s="15"/>
      <c r="P56" s="15"/>
      <c r="Q56" s="15"/>
      <c r="R56" s="15"/>
      <c r="S56" s="22"/>
      <c r="T56" s="22"/>
      <c r="U56" s="22"/>
      <c r="V56" s="22"/>
    </row>
    <row r="57" spans="1:22">
      <c r="A57" s="15"/>
      <c r="B57" s="15"/>
      <c r="C57" s="15"/>
      <c r="D57" s="15"/>
      <c r="E57" s="15"/>
      <c r="F57" s="15"/>
      <c r="G57" s="15"/>
      <c r="H57" s="15"/>
      <c r="I57" s="15"/>
      <c r="J57" s="15"/>
      <c r="K57" s="15"/>
      <c r="L57" s="15"/>
      <c r="M57" s="15"/>
      <c r="N57" s="15"/>
      <c r="O57" s="15"/>
      <c r="P57" s="15"/>
      <c r="Q57" s="15"/>
      <c r="R57" s="15"/>
      <c r="S57" s="22"/>
      <c r="T57" s="22"/>
      <c r="U57" s="22"/>
      <c r="V57" s="22"/>
    </row>
    <row r="58" spans="1:22">
      <c r="A58" s="15"/>
      <c r="B58" s="15"/>
      <c r="C58" s="15"/>
      <c r="D58" s="15"/>
      <c r="E58" s="15"/>
      <c r="F58" s="15"/>
      <c r="G58" s="15"/>
      <c r="H58" s="15"/>
      <c r="I58" s="15"/>
      <c r="J58" s="15"/>
      <c r="K58" s="15"/>
      <c r="L58" s="15"/>
      <c r="M58" s="15"/>
      <c r="N58" s="15"/>
      <c r="O58" s="15"/>
      <c r="P58" s="15"/>
      <c r="Q58" s="15"/>
      <c r="R58" s="15"/>
      <c r="S58" s="22"/>
      <c r="T58" s="22"/>
      <c r="U58" s="22"/>
      <c r="V58" s="22"/>
    </row>
    <row r="59" spans="1:22">
      <c r="A59" s="15"/>
      <c r="B59" s="15"/>
      <c r="C59" s="15"/>
      <c r="D59" s="15"/>
      <c r="E59" s="15"/>
      <c r="F59" s="15"/>
      <c r="G59" s="15"/>
      <c r="H59" s="15"/>
      <c r="I59" s="15"/>
      <c r="J59" s="15"/>
      <c r="K59" s="15"/>
      <c r="L59" s="15"/>
      <c r="M59" s="15"/>
      <c r="N59" s="15"/>
      <c r="O59" s="15"/>
      <c r="P59" s="15"/>
      <c r="Q59" s="15"/>
      <c r="R59" s="15"/>
      <c r="S59" s="22"/>
      <c r="T59" s="22"/>
      <c r="U59" s="22"/>
      <c r="V59" s="22"/>
    </row>
    <row r="60" spans="1:22">
      <c r="A60" s="15"/>
      <c r="B60" s="15"/>
      <c r="C60" s="15"/>
      <c r="D60" s="15"/>
      <c r="E60" s="15"/>
      <c r="F60" s="15"/>
      <c r="G60" s="15"/>
      <c r="H60" s="15"/>
      <c r="I60" s="15"/>
      <c r="J60" s="15"/>
      <c r="K60" s="15"/>
      <c r="L60" s="15"/>
      <c r="M60" s="15"/>
      <c r="N60" s="15"/>
      <c r="O60" s="15"/>
      <c r="P60" s="15"/>
      <c r="Q60" s="15"/>
      <c r="R60" s="15"/>
      <c r="S60" s="22"/>
      <c r="T60" s="22"/>
      <c r="U60" s="22"/>
      <c r="V60" s="22"/>
    </row>
    <row r="61" spans="1:22">
      <c r="A61" s="15"/>
      <c r="B61" s="15"/>
      <c r="C61" s="15"/>
      <c r="D61" s="15"/>
      <c r="E61" s="15"/>
      <c r="F61" s="15"/>
      <c r="G61" s="15"/>
      <c r="H61" s="15"/>
      <c r="I61" s="15"/>
      <c r="J61" s="15"/>
      <c r="K61" s="15"/>
      <c r="L61" s="15"/>
      <c r="M61" s="15"/>
      <c r="N61" s="15"/>
      <c r="O61" s="15"/>
      <c r="P61" s="15"/>
      <c r="Q61" s="15"/>
      <c r="R61" s="15"/>
      <c r="S61" s="22"/>
      <c r="T61" s="22"/>
      <c r="U61" s="22"/>
      <c r="V61" s="22"/>
    </row>
    <row r="62" spans="1:22">
      <c r="A62" s="15"/>
      <c r="B62" s="15"/>
      <c r="C62" s="15"/>
      <c r="D62" s="15"/>
      <c r="E62" s="15"/>
      <c r="F62" s="15"/>
      <c r="G62" s="15"/>
      <c r="H62" s="15"/>
      <c r="I62" s="15"/>
      <c r="J62" s="15"/>
      <c r="K62" s="15"/>
      <c r="L62" s="15"/>
      <c r="M62" s="15"/>
      <c r="N62" s="15"/>
      <c r="O62" s="15"/>
      <c r="P62" s="15"/>
      <c r="Q62" s="15"/>
      <c r="R62" s="15"/>
      <c r="S62" s="22"/>
      <c r="T62" s="22"/>
      <c r="U62" s="22"/>
      <c r="V62" s="22"/>
    </row>
    <row r="63" spans="1:22">
      <c r="A63" s="15"/>
      <c r="B63" s="15"/>
      <c r="C63" s="15"/>
      <c r="D63" s="15"/>
      <c r="E63" s="15"/>
      <c r="F63" s="15"/>
      <c r="G63" s="15"/>
      <c r="H63" s="15"/>
      <c r="I63" s="15"/>
      <c r="J63" s="15"/>
      <c r="K63" s="15"/>
      <c r="L63" s="15"/>
      <c r="M63" s="15"/>
      <c r="N63" s="15"/>
      <c r="O63" s="15"/>
      <c r="P63" s="15"/>
      <c r="Q63" s="15"/>
      <c r="R63" s="15"/>
      <c r="S63" s="22"/>
      <c r="T63" s="22"/>
      <c r="U63" s="22"/>
      <c r="V63" s="22"/>
    </row>
    <row r="64" spans="1:22">
      <c r="A64" s="15"/>
      <c r="B64" s="15"/>
      <c r="C64" s="15"/>
      <c r="D64" s="15"/>
      <c r="E64" s="15"/>
      <c r="F64" s="15"/>
      <c r="G64" s="15"/>
      <c r="H64" s="15"/>
      <c r="I64" s="15"/>
      <c r="J64" s="15"/>
      <c r="K64" s="15"/>
      <c r="L64" s="15"/>
      <c r="M64" s="15"/>
      <c r="N64" s="15"/>
      <c r="O64" s="15"/>
      <c r="P64" s="15"/>
      <c r="Q64" s="15"/>
      <c r="R64" s="15"/>
      <c r="S64" s="22"/>
      <c r="T64" s="22"/>
      <c r="U64" s="22"/>
      <c r="V64" s="22"/>
    </row>
    <row r="65" spans="1:22">
      <c r="A65" s="15"/>
      <c r="B65" s="15"/>
      <c r="C65" s="15"/>
      <c r="D65" s="15"/>
      <c r="E65" s="15"/>
      <c r="F65" s="15"/>
      <c r="G65" s="15"/>
      <c r="H65" s="15"/>
      <c r="I65" s="15"/>
      <c r="J65" s="15"/>
      <c r="K65" s="15"/>
      <c r="L65" s="15"/>
      <c r="M65" s="15"/>
      <c r="N65" s="15"/>
      <c r="O65" s="15"/>
      <c r="P65" s="15"/>
      <c r="Q65" s="15"/>
      <c r="R65" s="15"/>
      <c r="S65" s="22"/>
      <c r="T65" s="22"/>
      <c r="U65" s="22"/>
      <c r="V65" s="22"/>
    </row>
    <row r="66" spans="1:22">
      <c r="A66" s="15"/>
      <c r="B66" s="15"/>
      <c r="C66" s="15"/>
      <c r="D66" s="15"/>
      <c r="E66" s="15"/>
      <c r="F66" s="15"/>
      <c r="G66" s="15"/>
      <c r="H66" s="15"/>
      <c r="I66" s="15"/>
      <c r="J66" s="15"/>
      <c r="K66" s="15"/>
      <c r="L66" s="15"/>
      <c r="M66" s="15"/>
      <c r="N66" s="15"/>
      <c r="O66" s="15"/>
      <c r="P66" s="15"/>
      <c r="Q66" s="15"/>
      <c r="R66" s="15"/>
      <c r="S66" s="22"/>
      <c r="T66" s="22"/>
      <c r="U66" s="22"/>
      <c r="V66" s="22"/>
    </row>
    <row r="67" spans="1:22">
      <c r="A67" s="15"/>
      <c r="B67" s="15"/>
      <c r="C67" s="15"/>
      <c r="D67" s="15"/>
      <c r="E67" s="15"/>
      <c r="F67" s="15"/>
      <c r="G67" s="15"/>
      <c r="H67" s="15"/>
      <c r="I67" s="15"/>
      <c r="J67" s="15"/>
      <c r="K67" s="15"/>
      <c r="L67" s="15"/>
      <c r="M67" s="15"/>
      <c r="N67" s="15"/>
      <c r="O67" s="15"/>
      <c r="P67" s="15"/>
      <c r="Q67" s="15"/>
      <c r="R67" s="15"/>
      <c r="S67" s="22"/>
      <c r="T67" s="22"/>
      <c r="U67" s="22"/>
      <c r="V67" s="22"/>
    </row>
    <row r="68" spans="1:22">
      <c r="A68" s="15"/>
      <c r="B68" s="15"/>
      <c r="C68" s="15"/>
      <c r="D68" s="15"/>
      <c r="E68" s="15"/>
      <c r="F68" s="15"/>
      <c r="G68" s="15"/>
      <c r="H68" s="15"/>
      <c r="I68" s="15"/>
      <c r="J68" s="15"/>
      <c r="K68" s="15"/>
      <c r="L68" s="15"/>
      <c r="M68" s="15"/>
      <c r="N68" s="15"/>
      <c r="O68" s="15"/>
      <c r="P68" s="15"/>
      <c r="Q68" s="15"/>
      <c r="R68" s="15"/>
      <c r="S68" s="22"/>
      <c r="T68" s="22"/>
      <c r="U68" s="22"/>
      <c r="V68" s="22"/>
    </row>
    <row r="69" spans="1:22">
      <c r="A69" s="15"/>
      <c r="B69" s="15"/>
      <c r="C69" s="15"/>
      <c r="D69" s="15"/>
      <c r="E69" s="15"/>
      <c r="F69" s="15"/>
      <c r="G69" s="15"/>
      <c r="H69" s="15"/>
      <c r="I69" s="15"/>
      <c r="J69" s="15"/>
      <c r="K69" s="15"/>
      <c r="L69" s="15"/>
      <c r="M69" s="15"/>
      <c r="N69" s="15"/>
      <c r="O69" s="15"/>
      <c r="P69" s="15"/>
      <c r="Q69" s="15"/>
      <c r="R69" s="15"/>
      <c r="S69" s="22"/>
      <c r="T69" s="22"/>
      <c r="U69" s="22"/>
      <c r="V69" s="22"/>
    </row>
    <row r="70" spans="1:22">
      <c r="A70" s="15"/>
      <c r="B70" s="15"/>
      <c r="C70" s="15"/>
      <c r="D70" s="15"/>
      <c r="E70" s="15"/>
      <c r="F70" s="15"/>
      <c r="G70" s="15"/>
      <c r="H70" s="15"/>
      <c r="I70" s="15"/>
      <c r="J70" s="15"/>
      <c r="K70" s="15"/>
      <c r="L70" s="15"/>
      <c r="M70" s="15"/>
      <c r="N70" s="15"/>
      <c r="O70" s="15"/>
      <c r="P70" s="15"/>
      <c r="Q70" s="15"/>
      <c r="R70" s="15"/>
      <c r="S70" s="22"/>
      <c r="T70" s="22"/>
      <c r="U70" s="22"/>
      <c r="V70" s="22"/>
    </row>
    <row r="71" spans="1:22">
      <c r="A71" s="15"/>
      <c r="B71" s="15"/>
      <c r="C71" s="15"/>
      <c r="D71" s="15"/>
      <c r="E71" s="15"/>
      <c r="F71" s="15"/>
      <c r="G71" s="15"/>
      <c r="H71" s="15"/>
      <c r="I71" s="15"/>
      <c r="J71" s="15"/>
      <c r="K71" s="15"/>
      <c r="L71" s="15"/>
      <c r="M71" s="15"/>
      <c r="N71" s="15"/>
      <c r="O71" s="15"/>
      <c r="P71" s="15"/>
      <c r="Q71" s="15"/>
      <c r="R71" s="15"/>
      <c r="S71" s="22"/>
      <c r="T71" s="22"/>
      <c r="U71" s="22"/>
      <c r="V71" s="22"/>
    </row>
    <row r="72" spans="1:22">
      <c r="A72" s="15"/>
      <c r="B72" s="15"/>
      <c r="C72" s="15"/>
      <c r="D72" s="15"/>
      <c r="E72" s="15"/>
      <c r="F72" s="15"/>
      <c r="G72" s="15"/>
      <c r="H72" s="15"/>
      <c r="I72" s="15"/>
      <c r="J72" s="15"/>
      <c r="K72" s="15"/>
      <c r="L72" s="15"/>
      <c r="M72" s="15"/>
      <c r="N72" s="15"/>
      <c r="O72" s="15"/>
      <c r="P72" s="15"/>
      <c r="Q72" s="15"/>
      <c r="R72" s="15"/>
      <c r="S72" s="22"/>
      <c r="T72" s="22"/>
      <c r="U72" s="22"/>
      <c r="V72" s="22"/>
    </row>
    <row r="73" spans="1:22">
      <c r="A73" s="15"/>
      <c r="B73" s="15"/>
      <c r="C73" s="15"/>
      <c r="D73" s="15"/>
      <c r="E73" s="15"/>
      <c r="F73" s="15"/>
      <c r="G73" s="15"/>
      <c r="H73" s="15"/>
      <c r="I73" s="15"/>
      <c r="J73" s="15"/>
      <c r="K73" s="15"/>
      <c r="L73" s="15"/>
      <c r="M73" s="15"/>
      <c r="N73" s="15"/>
      <c r="O73" s="15"/>
      <c r="P73" s="15"/>
      <c r="Q73" s="15"/>
      <c r="R73" s="15"/>
      <c r="S73" s="22"/>
      <c r="T73" s="22"/>
      <c r="U73" s="22"/>
      <c r="V73" s="22"/>
    </row>
    <row r="74" spans="1:22">
      <c r="A74" s="15"/>
      <c r="B74" s="15"/>
      <c r="C74" s="15"/>
      <c r="D74" s="15"/>
      <c r="E74" s="15"/>
      <c r="F74" s="15"/>
      <c r="G74" s="15"/>
      <c r="H74" s="15"/>
      <c r="I74" s="15"/>
      <c r="J74" s="15"/>
      <c r="K74" s="15"/>
      <c r="L74" s="15"/>
      <c r="M74" s="15"/>
      <c r="N74" s="15"/>
      <c r="O74" s="15"/>
      <c r="P74" s="15"/>
      <c r="Q74" s="15"/>
      <c r="R74" s="15"/>
      <c r="S74" s="22"/>
      <c r="T74" s="22"/>
      <c r="U74" s="22"/>
      <c r="V74" s="22"/>
    </row>
    <row r="75" spans="1:22">
      <c r="A75" s="15"/>
      <c r="B75" s="15"/>
      <c r="C75" s="15"/>
      <c r="D75" s="15"/>
      <c r="E75" s="15"/>
      <c r="F75" s="15"/>
      <c r="G75" s="15"/>
      <c r="H75" s="15"/>
      <c r="I75" s="15"/>
      <c r="J75" s="15"/>
      <c r="K75" s="15"/>
      <c r="L75" s="15"/>
      <c r="M75" s="15"/>
      <c r="N75" s="15"/>
      <c r="O75" s="15"/>
      <c r="P75" s="15"/>
      <c r="Q75" s="15"/>
      <c r="R75" s="15"/>
      <c r="S75" s="22"/>
      <c r="T75" s="22"/>
      <c r="U75" s="22"/>
      <c r="V75" s="22"/>
    </row>
    <row r="76" spans="1:22">
      <c r="A76" s="15"/>
      <c r="B76" s="15"/>
      <c r="C76" s="15"/>
      <c r="D76" s="15"/>
      <c r="E76" s="15"/>
      <c r="F76" s="15"/>
      <c r="G76" s="15"/>
      <c r="H76" s="15"/>
      <c r="I76" s="15"/>
      <c r="J76" s="15"/>
      <c r="K76" s="15"/>
      <c r="L76" s="15"/>
      <c r="M76" s="15"/>
      <c r="N76" s="15"/>
      <c r="O76" s="15"/>
      <c r="P76" s="15"/>
      <c r="Q76" s="15"/>
      <c r="R76" s="15"/>
      <c r="S76" s="22"/>
      <c r="T76" s="22"/>
      <c r="U76" s="22"/>
      <c r="V76" s="22"/>
    </row>
    <row r="77" spans="1:22">
      <c r="A77" s="15"/>
      <c r="B77" s="15"/>
      <c r="C77" s="15"/>
      <c r="D77" s="15"/>
      <c r="E77" s="15"/>
      <c r="F77" s="15"/>
      <c r="G77" s="15"/>
      <c r="H77" s="15"/>
      <c r="I77" s="15"/>
      <c r="J77" s="15"/>
      <c r="K77" s="15"/>
      <c r="L77" s="15"/>
      <c r="M77" s="15"/>
      <c r="N77" s="15"/>
      <c r="O77" s="15"/>
      <c r="P77" s="15"/>
      <c r="Q77" s="15"/>
      <c r="R77" s="15"/>
      <c r="S77" s="22"/>
      <c r="T77" s="22"/>
      <c r="U77" s="22"/>
      <c r="V77" s="22"/>
    </row>
    <row r="78" spans="1:22">
      <c r="A78" s="15"/>
      <c r="B78" s="15"/>
      <c r="C78" s="15"/>
      <c r="D78" s="15"/>
      <c r="E78" s="15"/>
      <c r="F78" s="15"/>
      <c r="G78" s="15"/>
      <c r="H78" s="15"/>
      <c r="I78" s="15"/>
      <c r="J78" s="15"/>
      <c r="K78" s="15"/>
      <c r="L78" s="15"/>
      <c r="M78" s="15"/>
      <c r="N78" s="15"/>
      <c r="O78" s="15"/>
      <c r="P78" s="15"/>
      <c r="Q78" s="15"/>
      <c r="R78" s="15"/>
      <c r="S78" s="22"/>
      <c r="T78" s="22"/>
      <c r="U78" s="22"/>
      <c r="V78" s="22"/>
    </row>
    <row r="79" spans="1:22">
      <c r="A79" s="15"/>
      <c r="B79" s="15"/>
      <c r="C79" s="15"/>
      <c r="D79" s="15"/>
      <c r="E79" s="15"/>
      <c r="F79" s="15"/>
      <c r="G79" s="15"/>
      <c r="H79" s="15"/>
      <c r="I79" s="15"/>
      <c r="J79" s="15"/>
      <c r="K79" s="15"/>
      <c r="L79" s="15"/>
      <c r="M79" s="15"/>
      <c r="N79" s="15"/>
      <c r="O79" s="15"/>
      <c r="P79" s="15"/>
      <c r="Q79" s="15"/>
      <c r="R79" s="15"/>
      <c r="S79" s="22"/>
      <c r="T79" s="22"/>
      <c r="U79" s="22"/>
      <c r="V79" s="22"/>
    </row>
    <row r="80" spans="1:22">
      <c r="A80" s="15"/>
      <c r="B80" s="15"/>
      <c r="C80" s="15"/>
      <c r="D80" s="15"/>
      <c r="E80" s="15"/>
      <c r="F80" s="15"/>
      <c r="G80" s="15"/>
      <c r="H80" s="15"/>
      <c r="I80" s="15"/>
      <c r="J80" s="15"/>
      <c r="K80" s="15"/>
      <c r="L80" s="15"/>
      <c r="M80" s="15"/>
      <c r="N80" s="15"/>
      <c r="O80" s="15"/>
      <c r="P80" s="15"/>
      <c r="Q80" s="15"/>
      <c r="R80" s="15"/>
      <c r="S80" s="22"/>
      <c r="T80" s="22"/>
      <c r="U80" s="22"/>
      <c r="V80" s="22"/>
    </row>
    <row r="81" spans="1:22">
      <c r="A81" s="15"/>
      <c r="B81" s="15"/>
      <c r="C81" s="15"/>
      <c r="D81" s="15"/>
      <c r="E81" s="15"/>
      <c r="F81" s="15"/>
      <c r="G81" s="15"/>
      <c r="H81" s="15"/>
      <c r="I81" s="15"/>
      <c r="J81" s="15"/>
      <c r="K81" s="15"/>
      <c r="L81" s="15"/>
      <c r="M81" s="15"/>
      <c r="N81" s="15"/>
      <c r="O81" s="15"/>
      <c r="P81" s="15"/>
      <c r="Q81" s="15"/>
      <c r="R81" s="15"/>
      <c r="S81" s="22"/>
      <c r="T81" s="22"/>
      <c r="U81" s="22"/>
      <c r="V81" s="22"/>
    </row>
    <row r="82" spans="1:22">
      <c r="A82" s="15"/>
      <c r="B82" s="15"/>
      <c r="C82" s="15"/>
      <c r="D82" s="15"/>
      <c r="E82" s="15"/>
      <c r="F82" s="15"/>
      <c r="G82" s="15"/>
      <c r="H82" s="15"/>
      <c r="I82" s="15"/>
      <c r="J82" s="15"/>
      <c r="K82" s="15"/>
      <c r="L82" s="15"/>
      <c r="M82" s="15"/>
      <c r="N82" s="15"/>
      <c r="O82" s="15"/>
      <c r="P82" s="15"/>
      <c r="Q82" s="15"/>
      <c r="R82" s="15"/>
      <c r="S82" s="22"/>
      <c r="T82" s="22"/>
      <c r="U82" s="22"/>
      <c r="V82" s="22"/>
    </row>
    <row r="83" spans="1:22">
      <c r="A83" s="15"/>
      <c r="B83" s="15"/>
      <c r="C83" s="15"/>
      <c r="D83" s="15"/>
      <c r="E83" s="15"/>
      <c r="F83" s="15"/>
      <c r="G83" s="15"/>
      <c r="H83" s="15"/>
      <c r="I83" s="15"/>
      <c r="J83" s="15"/>
      <c r="K83" s="15"/>
      <c r="L83" s="15"/>
      <c r="M83" s="15"/>
      <c r="N83" s="15"/>
      <c r="O83" s="15"/>
      <c r="P83" s="15"/>
      <c r="Q83" s="15"/>
      <c r="R83" s="15"/>
      <c r="S83" s="22"/>
      <c r="T83" s="22"/>
      <c r="U83" s="22"/>
      <c r="V83" s="22"/>
    </row>
    <row r="84" spans="1:22">
      <c r="A84" s="15"/>
      <c r="B84" s="15"/>
      <c r="C84" s="15"/>
      <c r="D84" s="15"/>
      <c r="E84" s="15"/>
      <c r="F84" s="15"/>
      <c r="G84" s="15"/>
      <c r="H84" s="15"/>
      <c r="I84" s="15"/>
      <c r="J84" s="15"/>
      <c r="K84" s="15"/>
      <c r="L84" s="15"/>
      <c r="M84" s="15"/>
      <c r="N84" s="15"/>
      <c r="O84" s="15"/>
      <c r="P84" s="15"/>
      <c r="Q84" s="15"/>
      <c r="R84" s="15"/>
      <c r="S84" s="22"/>
      <c r="T84" s="22"/>
      <c r="U84" s="22"/>
      <c r="V84" s="22"/>
    </row>
    <row r="85" spans="1:22">
      <c r="A85" s="15"/>
      <c r="B85" s="15"/>
      <c r="C85" s="15"/>
      <c r="D85" s="15"/>
      <c r="E85" s="15"/>
      <c r="F85" s="15"/>
      <c r="G85" s="15"/>
      <c r="H85" s="15"/>
      <c r="I85" s="15"/>
      <c r="J85" s="15"/>
      <c r="K85" s="15"/>
      <c r="L85" s="15"/>
      <c r="M85" s="15"/>
      <c r="N85" s="15"/>
      <c r="O85" s="15"/>
      <c r="P85" s="15"/>
      <c r="Q85" s="15"/>
      <c r="R85" s="15"/>
      <c r="S85" s="22"/>
      <c r="T85" s="22"/>
      <c r="U85" s="22"/>
      <c r="V85" s="22"/>
    </row>
    <row r="86" spans="1:22">
      <c r="A86" s="15"/>
      <c r="B86" s="15"/>
      <c r="C86" s="15"/>
      <c r="D86" s="15"/>
      <c r="E86" s="15"/>
      <c r="F86" s="15"/>
      <c r="G86" s="15"/>
      <c r="H86" s="15"/>
      <c r="I86" s="15"/>
      <c r="J86" s="15"/>
      <c r="K86" s="15"/>
      <c r="L86" s="15"/>
      <c r="M86" s="15"/>
      <c r="N86" s="15"/>
      <c r="O86" s="15"/>
      <c r="P86" s="15"/>
      <c r="Q86" s="15"/>
      <c r="R86" s="15"/>
      <c r="S86" s="22"/>
      <c r="T86" s="22"/>
      <c r="U86" s="22"/>
      <c r="V86" s="22"/>
    </row>
    <row r="87" spans="1:22">
      <c r="A87" s="15"/>
      <c r="B87" s="15"/>
      <c r="C87" s="15"/>
      <c r="D87" s="15"/>
      <c r="E87" s="15"/>
      <c r="F87" s="15"/>
      <c r="G87" s="15"/>
      <c r="H87" s="15"/>
      <c r="I87" s="15"/>
      <c r="J87" s="15"/>
      <c r="K87" s="15"/>
      <c r="L87" s="15"/>
      <c r="M87" s="15"/>
      <c r="N87" s="15"/>
      <c r="O87" s="15"/>
      <c r="P87" s="15"/>
      <c r="Q87" s="15"/>
      <c r="R87" s="15"/>
      <c r="S87" s="22"/>
      <c r="T87" s="22"/>
      <c r="U87" s="22"/>
      <c r="V87" s="22"/>
    </row>
    <row r="88" spans="1:22">
      <c r="A88" s="15"/>
      <c r="B88" s="15"/>
      <c r="C88" s="15"/>
      <c r="D88" s="15"/>
      <c r="E88" s="15"/>
      <c r="F88" s="15"/>
      <c r="G88" s="15"/>
      <c r="H88" s="15"/>
      <c r="I88" s="15"/>
      <c r="J88" s="15"/>
      <c r="K88" s="15"/>
      <c r="L88" s="15"/>
      <c r="M88" s="15"/>
      <c r="N88" s="15"/>
      <c r="O88" s="15"/>
      <c r="P88" s="15"/>
      <c r="Q88" s="15"/>
      <c r="R88" s="15"/>
      <c r="S88" s="22"/>
      <c r="T88" s="22"/>
      <c r="U88" s="22"/>
      <c r="V88" s="22"/>
    </row>
    <row r="89" spans="1:22">
      <c r="A89" s="15"/>
      <c r="B89" s="15"/>
      <c r="C89" s="15"/>
      <c r="D89" s="15"/>
      <c r="E89" s="15"/>
      <c r="F89" s="15"/>
      <c r="G89" s="15"/>
      <c r="H89" s="15"/>
      <c r="I89" s="15"/>
      <c r="J89" s="15"/>
      <c r="K89" s="15"/>
      <c r="L89" s="15"/>
      <c r="M89" s="15"/>
      <c r="N89" s="15"/>
      <c r="O89" s="15"/>
      <c r="P89" s="15"/>
      <c r="Q89" s="15"/>
      <c r="R89" s="15"/>
      <c r="S89" s="22"/>
      <c r="T89" s="22"/>
      <c r="U89" s="22"/>
      <c r="V89" s="22"/>
    </row>
    <row r="90" spans="1:22">
      <c r="A90" s="15"/>
      <c r="B90" s="15"/>
      <c r="C90" s="15"/>
      <c r="D90" s="15"/>
      <c r="E90" s="15"/>
      <c r="F90" s="15"/>
      <c r="G90" s="15"/>
      <c r="H90" s="15"/>
      <c r="I90" s="15"/>
      <c r="J90" s="15"/>
      <c r="K90" s="15"/>
      <c r="L90" s="15"/>
      <c r="M90" s="15"/>
      <c r="N90" s="15"/>
      <c r="O90" s="15"/>
      <c r="P90" s="15"/>
      <c r="Q90" s="15"/>
      <c r="R90" s="15"/>
      <c r="S90" s="22"/>
      <c r="T90" s="22"/>
      <c r="U90" s="22"/>
      <c r="V90" s="22"/>
    </row>
    <row r="91" spans="1:22">
      <c r="A91" s="15"/>
      <c r="B91" s="15"/>
      <c r="C91" s="15"/>
      <c r="D91" s="15"/>
      <c r="E91" s="15"/>
      <c r="F91" s="15"/>
      <c r="G91" s="15"/>
      <c r="H91" s="15"/>
      <c r="I91" s="15"/>
      <c r="J91" s="15"/>
      <c r="K91" s="15"/>
      <c r="L91" s="15"/>
      <c r="M91" s="15"/>
      <c r="N91" s="15"/>
      <c r="O91" s="15"/>
      <c r="P91" s="15"/>
      <c r="Q91" s="15"/>
      <c r="R91" s="15"/>
      <c r="S91" s="22"/>
      <c r="T91" s="22"/>
      <c r="U91" s="22"/>
      <c r="V91" s="22"/>
    </row>
    <row r="92" spans="1:22">
      <c r="A92" s="15"/>
      <c r="B92" s="15"/>
      <c r="C92" s="15"/>
      <c r="D92" s="15"/>
      <c r="E92" s="15"/>
      <c r="F92" s="15"/>
      <c r="G92" s="15"/>
      <c r="H92" s="15"/>
      <c r="I92" s="15"/>
      <c r="J92" s="15"/>
      <c r="K92" s="15"/>
      <c r="L92" s="15"/>
      <c r="M92" s="15"/>
      <c r="N92" s="15"/>
      <c r="O92" s="15"/>
      <c r="P92" s="15"/>
      <c r="Q92" s="15"/>
      <c r="R92" s="15"/>
      <c r="S92" s="22"/>
      <c r="T92" s="22"/>
      <c r="U92" s="22"/>
      <c r="V92" s="22"/>
    </row>
    <row r="93" spans="1:22">
      <c r="A93" s="15"/>
      <c r="B93" s="15"/>
      <c r="C93" s="15"/>
      <c r="D93" s="15"/>
      <c r="E93" s="15"/>
      <c r="F93" s="15"/>
      <c r="G93" s="15"/>
      <c r="H93" s="15"/>
      <c r="I93" s="15"/>
      <c r="J93" s="15"/>
      <c r="K93" s="15"/>
      <c r="L93" s="15"/>
      <c r="M93" s="15"/>
      <c r="N93" s="15"/>
      <c r="O93" s="15"/>
      <c r="P93" s="15"/>
      <c r="Q93" s="15"/>
      <c r="R93" s="15"/>
      <c r="S93" s="22"/>
      <c r="T93" s="22"/>
      <c r="U93" s="22"/>
      <c r="V93" s="22"/>
    </row>
    <row r="94" spans="1:22">
      <c r="A94" s="15"/>
      <c r="B94" s="15"/>
      <c r="C94" s="15"/>
      <c r="D94" s="15"/>
      <c r="E94" s="15"/>
      <c r="F94" s="15"/>
      <c r="G94" s="15"/>
      <c r="H94" s="15"/>
      <c r="I94" s="15"/>
      <c r="J94" s="15"/>
      <c r="K94" s="15"/>
      <c r="L94" s="15"/>
      <c r="M94" s="15"/>
      <c r="N94" s="15"/>
      <c r="O94" s="15"/>
      <c r="P94" s="15"/>
      <c r="Q94" s="15"/>
      <c r="R94" s="15"/>
      <c r="S94" s="22"/>
      <c r="T94" s="22"/>
      <c r="U94" s="22"/>
      <c r="V94" s="22"/>
    </row>
    <row r="95" spans="1:22">
      <c r="A95" s="15"/>
      <c r="B95" s="15"/>
      <c r="C95" s="15"/>
      <c r="D95" s="15"/>
      <c r="E95" s="15"/>
      <c r="F95" s="15"/>
      <c r="G95" s="15"/>
      <c r="H95" s="15"/>
      <c r="I95" s="15"/>
      <c r="J95" s="15"/>
      <c r="K95" s="15"/>
      <c r="L95" s="15"/>
      <c r="M95" s="15"/>
      <c r="N95" s="15"/>
      <c r="O95" s="15"/>
      <c r="P95" s="15"/>
      <c r="Q95" s="15"/>
      <c r="R95" s="15"/>
      <c r="S95" s="22"/>
      <c r="T95" s="22"/>
      <c r="U95" s="22"/>
      <c r="V95" s="22"/>
    </row>
    <row r="96" spans="1:22">
      <c r="A96" s="15"/>
      <c r="B96" s="15"/>
      <c r="C96" s="15"/>
      <c r="D96" s="15"/>
      <c r="E96" s="15"/>
      <c r="F96" s="15"/>
      <c r="G96" s="15"/>
      <c r="H96" s="15"/>
      <c r="I96" s="15"/>
      <c r="J96" s="15"/>
      <c r="K96" s="15"/>
      <c r="L96" s="15"/>
      <c r="M96" s="15"/>
      <c r="N96" s="15"/>
      <c r="O96" s="15"/>
      <c r="P96" s="15"/>
      <c r="Q96" s="15"/>
      <c r="R96" s="15"/>
      <c r="S96" s="22"/>
      <c r="T96" s="22"/>
      <c r="U96" s="22"/>
      <c r="V96" s="22"/>
    </row>
    <row r="97" spans="1:22">
      <c r="A97" s="15"/>
      <c r="B97" s="15"/>
      <c r="C97" s="15"/>
      <c r="D97" s="15"/>
      <c r="E97" s="15"/>
      <c r="F97" s="15"/>
      <c r="G97" s="15"/>
      <c r="H97" s="15"/>
      <c r="I97" s="15"/>
      <c r="J97" s="15"/>
      <c r="K97" s="15"/>
      <c r="L97" s="15"/>
      <c r="M97" s="15"/>
      <c r="N97" s="15"/>
      <c r="O97" s="15"/>
      <c r="P97" s="15"/>
      <c r="Q97" s="15"/>
      <c r="R97" s="15"/>
      <c r="S97" s="22"/>
      <c r="T97" s="22"/>
      <c r="U97" s="22"/>
      <c r="V97" s="22"/>
    </row>
    <row r="98" spans="1:22">
      <c r="A98" s="15"/>
      <c r="B98" s="15"/>
      <c r="C98" s="15"/>
      <c r="D98" s="15"/>
      <c r="E98" s="15"/>
      <c r="F98" s="15"/>
      <c r="G98" s="15"/>
      <c r="H98" s="15"/>
      <c r="I98" s="15"/>
      <c r="J98" s="15"/>
      <c r="K98" s="15"/>
      <c r="L98" s="15"/>
      <c r="M98" s="15"/>
      <c r="N98" s="15"/>
      <c r="O98" s="15"/>
      <c r="P98" s="15"/>
      <c r="Q98" s="15"/>
      <c r="R98" s="15"/>
      <c r="S98" s="22"/>
      <c r="T98" s="22"/>
      <c r="U98" s="22"/>
      <c r="V98" s="22"/>
    </row>
    <row r="99" spans="1:22">
      <c r="A99" s="15"/>
      <c r="B99" s="15"/>
      <c r="C99" s="15"/>
      <c r="D99" s="15"/>
      <c r="E99" s="15"/>
      <c r="F99" s="15"/>
      <c r="G99" s="15"/>
      <c r="H99" s="15"/>
      <c r="I99" s="15"/>
      <c r="J99" s="15"/>
      <c r="K99" s="15"/>
      <c r="L99" s="15"/>
      <c r="M99" s="15"/>
      <c r="N99" s="15"/>
      <c r="O99" s="15"/>
      <c r="P99" s="15"/>
      <c r="Q99" s="15"/>
      <c r="R99" s="15"/>
      <c r="S99" s="22"/>
      <c r="T99" s="22"/>
      <c r="U99" s="22"/>
      <c r="V99" s="22"/>
    </row>
    <row r="100" spans="1:22">
      <c r="A100" s="15"/>
      <c r="B100" s="15"/>
      <c r="C100" s="15"/>
      <c r="D100" s="15"/>
      <c r="E100" s="15"/>
      <c r="F100" s="15"/>
      <c r="G100" s="15"/>
      <c r="H100" s="15"/>
      <c r="I100" s="15"/>
      <c r="J100" s="15"/>
      <c r="K100" s="15"/>
      <c r="L100" s="15"/>
      <c r="M100" s="15"/>
      <c r="N100" s="15"/>
      <c r="O100" s="15"/>
      <c r="P100" s="15"/>
      <c r="Q100" s="15"/>
      <c r="R100" s="15"/>
      <c r="S100" s="22"/>
      <c r="T100" s="22"/>
      <c r="U100" s="22"/>
      <c r="V100" s="22"/>
    </row>
    <row r="101" spans="1:22">
      <c r="A101" s="15"/>
      <c r="B101" s="15"/>
      <c r="C101" s="15"/>
      <c r="D101" s="15"/>
      <c r="E101" s="15"/>
      <c r="F101" s="15"/>
      <c r="G101" s="15"/>
      <c r="H101" s="15"/>
      <c r="I101" s="15"/>
      <c r="J101" s="15"/>
      <c r="K101" s="15"/>
      <c r="L101" s="15"/>
      <c r="M101" s="15"/>
      <c r="N101" s="15"/>
      <c r="O101" s="15"/>
      <c r="P101" s="15"/>
      <c r="Q101" s="15"/>
      <c r="R101" s="15"/>
      <c r="S101" s="22"/>
      <c r="T101" s="22"/>
      <c r="U101" s="22"/>
      <c r="V101" s="22"/>
    </row>
    <row r="102" spans="1:22">
      <c r="A102" s="15"/>
      <c r="B102" s="15"/>
      <c r="C102" s="15"/>
      <c r="D102" s="15"/>
      <c r="E102" s="15"/>
      <c r="F102" s="15"/>
      <c r="G102" s="15"/>
      <c r="H102" s="15"/>
      <c r="I102" s="15"/>
      <c r="J102" s="15"/>
      <c r="K102" s="15"/>
      <c r="L102" s="15"/>
      <c r="M102" s="15"/>
      <c r="N102" s="15"/>
      <c r="O102" s="15"/>
      <c r="P102" s="15"/>
      <c r="Q102" s="15"/>
      <c r="R102" s="15"/>
      <c r="S102" s="22"/>
      <c r="T102" s="22"/>
      <c r="U102" s="22"/>
      <c r="V102" s="22"/>
    </row>
    <row r="103" spans="1:22">
      <c r="A103" s="15"/>
      <c r="B103" s="15"/>
      <c r="C103" s="15"/>
      <c r="D103" s="15"/>
      <c r="E103" s="15"/>
      <c r="F103" s="15"/>
      <c r="G103" s="15"/>
      <c r="H103" s="15"/>
      <c r="I103" s="15"/>
      <c r="J103" s="15"/>
      <c r="K103" s="15"/>
      <c r="L103" s="15"/>
      <c r="M103" s="15"/>
      <c r="N103" s="15"/>
      <c r="O103" s="15"/>
      <c r="P103" s="15"/>
      <c r="Q103" s="15"/>
      <c r="R103" s="15"/>
      <c r="S103" s="22"/>
      <c r="T103" s="22"/>
      <c r="U103" s="22"/>
      <c r="V103" s="22"/>
    </row>
    <row r="104" spans="1:22">
      <c r="A104" s="15"/>
      <c r="B104" s="15"/>
      <c r="C104" s="15"/>
      <c r="D104" s="15"/>
      <c r="E104" s="15"/>
      <c r="F104" s="15"/>
      <c r="G104" s="15"/>
      <c r="H104" s="15"/>
      <c r="I104" s="15"/>
      <c r="J104" s="15"/>
      <c r="K104" s="15"/>
      <c r="L104" s="15"/>
      <c r="M104" s="15"/>
      <c r="N104" s="15"/>
      <c r="O104" s="15"/>
      <c r="P104" s="15"/>
      <c r="Q104" s="15"/>
      <c r="R104" s="15"/>
      <c r="S104" s="22"/>
      <c r="T104" s="22"/>
      <c r="U104" s="22"/>
      <c r="V104" s="22"/>
    </row>
    <row r="105" spans="1:22">
      <c r="A105" s="15"/>
      <c r="B105" s="15"/>
      <c r="C105" s="15"/>
      <c r="D105" s="15"/>
      <c r="E105" s="15"/>
      <c r="F105" s="15"/>
      <c r="G105" s="15"/>
      <c r="H105" s="15"/>
      <c r="I105" s="15"/>
      <c r="J105" s="15"/>
      <c r="K105" s="15"/>
      <c r="L105" s="15"/>
      <c r="M105" s="15"/>
      <c r="N105" s="15"/>
      <c r="O105" s="15"/>
      <c r="P105" s="15"/>
      <c r="Q105" s="15"/>
      <c r="R105" s="15"/>
      <c r="S105" s="22"/>
      <c r="T105" s="22"/>
      <c r="U105" s="22"/>
      <c r="V105" s="22"/>
    </row>
    <row r="106" spans="1:22">
      <c r="A106" s="15"/>
      <c r="B106" s="15"/>
      <c r="C106" s="15"/>
      <c r="D106" s="15"/>
      <c r="E106" s="15"/>
      <c r="F106" s="15"/>
      <c r="G106" s="15"/>
      <c r="H106" s="15"/>
      <c r="I106" s="15"/>
      <c r="J106" s="15"/>
      <c r="K106" s="15"/>
      <c r="L106" s="15"/>
      <c r="M106" s="15"/>
      <c r="N106" s="15"/>
      <c r="O106" s="15"/>
      <c r="P106" s="15"/>
      <c r="Q106" s="15"/>
      <c r="R106" s="15"/>
      <c r="S106" s="22"/>
      <c r="T106" s="22"/>
      <c r="U106" s="22"/>
      <c r="V106" s="22"/>
    </row>
    <row r="107" spans="1:22">
      <c r="A107" s="15"/>
      <c r="B107" s="15"/>
      <c r="C107" s="15"/>
      <c r="D107" s="15"/>
      <c r="E107" s="15"/>
      <c r="F107" s="15"/>
      <c r="G107" s="15"/>
      <c r="H107" s="15"/>
      <c r="I107" s="15"/>
      <c r="J107" s="15"/>
      <c r="K107" s="15"/>
      <c r="L107" s="15"/>
      <c r="M107" s="15"/>
      <c r="N107" s="15"/>
      <c r="O107" s="15"/>
      <c r="P107" s="15"/>
      <c r="Q107" s="15"/>
      <c r="R107" s="15"/>
      <c r="S107" s="22"/>
      <c r="T107" s="22"/>
      <c r="U107" s="22"/>
      <c r="V107" s="22"/>
    </row>
    <row r="108" spans="1:22">
      <c r="A108" s="15"/>
      <c r="B108" s="15"/>
      <c r="C108" s="15"/>
      <c r="D108" s="15"/>
      <c r="E108" s="15"/>
      <c r="F108" s="15"/>
      <c r="G108" s="15"/>
      <c r="H108" s="15"/>
      <c r="I108" s="15"/>
      <c r="J108" s="15"/>
      <c r="K108" s="15"/>
      <c r="L108" s="15"/>
      <c r="M108" s="15"/>
      <c r="N108" s="15"/>
      <c r="O108" s="15"/>
      <c r="P108" s="15"/>
      <c r="Q108" s="15"/>
      <c r="R108" s="15"/>
      <c r="S108" s="22"/>
      <c r="T108" s="22"/>
      <c r="U108" s="22"/>
      <c r="V108" s="22"/>
    </row>
    <row r="109" spans="1:22">
      <c r="A109" s="15"/>
      <c r="B109" s="15"/>
      <c r="C109" s="15"/>
      <c r="D109" s="15"/>
      <c r="E109" s="15"/>
      <c r="F109" s="15"/>
      <c r="G109" s="15"/>
      <c r="H109" s="15"/>
      <c r="I109" s="15"/>
      <c r="J109" s="15"/>
      <c r="K109" s="15"/>
      <c r="L109" s="15"/>
      <c r="M109" s="15"/>
      <c r="N109" s="15"/>
      <c r="O109" s="15"/>
      <c r="P109" s="15"/>
      <c r="Q109" s="15"/>
      <c r="R109" s="15"/>
      <c r="S109" s="22"/>
      <c r="T109" s="22"/>
      <c r="U109" s="22"/>
      <c r="V109" s="22"/>
    </row>
    <row r="110" spans="1:22">
      <c r="A110" s="15"/>
      <c r="B110" s="15"/>
      <c r="C110" s="15"/>
      <c r="D110" s="15"/>
      <c r="E110" s="15"/>
      <c r="F110" s="15"/>
      <c r="G110" s="15"/>
      <c r="H110" s="15"/>
      <c r="I110" s="15"/>
      <c r="J110" s="15"/>
      <c r="K110" s="15"/>
      <c r="L110" s="15"/>
      <c r="M110" s="15"/>
      <c r="N110" s="15"/>
      <c r="O110" s="15"/>
      <c r="P110" s="15"/>
      <c r="Q110" s="15"/>
      <c r="R110" s="15"/>
      <c r="S110" s="22"/>
      <c r="T110" s="22"/>
      <c r="U110" s="22"/>
      <c r="V110" s="22"/>
    </row>
    <row r="111" spans="1:22">
      <c r="A111" s="15"/>
      <c r="B111" s="15"/>
      <c r="C111" s="15"/>
      <c r="D111" s="15"/>
      <c r="E111" s="15"/>
      <c r="F111" s="15"/>
      <c r="G111" s="15"/>
      <c r="H111" s="15"/>
      <c r="I111" s="15"/>
      <c r="J111" s="15"/>
      <c r="K111" s="15"/>
      <c r="L111" s="15"/>
      <c r="M111" s="15"/>
      <c r="N111" s="15"/>
      <c r="O111" s="15"/>
      <c r="P111" s="15"/>
      <c r="Q111" s="15"/>
      <c r="R111" s="15"/>
      <c r="S111" s="22"/>
      <c r="T111" s="22"/>
      <c r="U111" s="22"/>
      <c r="V111" s="22"/>
    </row>
    <row r="112" spans="1:22">
      <c r="A112" s="15"/>
      <c r="B112" s="15"/>
      <c r="C112" s="15"/>
      <c r="D112" s="15"/>
      <c r="E112" s="15"/>
      <c r="F112" s="15"/>
      <c r="G112" s="15"/>
      <c r="H112" s="15"/>
      <c r="I112" s="15"/>
      <c r="J112" s="15"/>
      <c r="K112" s="15"/>
      <c r="L112" s="15"/>
      <c r="M112" s="15"/>
      <c r="N112" s="15"/>
      <c r="O112" s="15"/>
      <c r="P112" s="15"/>
      <c r="Q112" s="15"/>
      <c r="R112" s="15"/>
      <c r="S112" s="22"/>
      <c r="T112" s="22"/>
      <c r="U112" s="22"/>
      <c r="V112" s="22"/>
    </row>
    <row r="113" spans="1:22">
      <c r="A113" s="15"/>
      <c r="B113" s="15"/>
      <c r="C113" s="15"/>
      <c r="D113" s="15"/>
      <c r="E113" s="15"/>
      <c r="F113" s="15"/>
      <c r="G113" s="15"/>
      <c r="H113" s="15"/>
      <c r="I113" s="15"/>
      <c r="J113" s="15"/>
      <c r="K113" s="15"/>
      <c r="L113" s="15"/>
      <c r="M113" s="15"/>
      <c r="N113" s="15"/>
      <c r="O113" s="15"/>
      <c r="P113" s="15"/>
      <c r="Q113" s="15"/>
      <c r="R113" s="15"/>
      <c r="S113" s="22"/>
      <c r="T113" s="22"/>
      <c r="U113" s="22"/>
      <c r="V113" s="22"/>
    </row>
    <row r="114" spans="1:22">
      <c r="A114" s="15"/>
      <c r="B114" s="15"/>
      <c r="C114" s="15"/>
      <c r="D114" s="15"/>
      <c r="E114" s="15"/>
      <c r="F114" s="15"/>
      <c r="G114" s="15"/>
      <c r="H114" s="15"/>
      <c r="I114" s="15"/>
      <c r="J114" s="15"/>
      <c r="K114" s="15"/>
      <c r="L114" s="15"/>
      <c r="M114" s="15"/>
      <c r="N114" s="15"/>
      <c r="O114" s="15"/>
      <c r="P114" s="15"/>
      <c r="Q114" s="15"/>
      <c r="R114" s="15"/>
      <c r="S114" s="15"/>
      <c r="T114" s="15"/>
      <c r="U114" s="15"/>
      <c r="V114" s="15"/>
    </row>
    <row r="115" spans="1:22">
      <c r="A115" s="15"/>
      <c r="B115" s="15"/>
      <c r="C115" s="15"/>
      <c r="D115" s="15"/>
      <c r="E115" s="15"/>
      <c r="F115" s="15"/>
      <c r="G115" s="15"/>
      <c r="H115" s="15"/>
      <c r="I115" s="15"/>
      <c r="J115" s="15"/>
      <c r="K115" s="15"/>
      <c r="L115" s="15"/>
      <c r="M115" s="15"/>
      <c r="N115" s="15"/>
      <c r="O115" s="15"/>
      <c r="P115" s="15"/>
      <c r="Q115" s="15"/>
      <c r="R115" s="15"/>
      <c r="S115" s="15"/>
      <c r="T115" s="15"/>
      <c r="U115" s="15"/>
      <c r="V115" s="15"/>
    </row>
    <row r="116" spans="1:22">
      <c r="A116" s="15"/>
      <c r="B116" s="15"/>
      <c r="C116" s="15"/>
      <c r="D116" s="15"/>
      <c r="E116" s="15"/>
      <c r="F116" s="15"/>
      <c r="G116" s="15"/>
      <c r="H116" s="15"/>
      <c r="I116" s="15"/>
      <c r="J116" s="15"/>
      <c r="K116" s="15"/>
      <c r="L116" s="15"/>
      <c r="M116" s="15"/>
      <c r="N116" s="15"/>
      <c r="O116" s="15"/>
      <c r="P116" s="15"/>
      <c r="Q116" s="15"/>
      <c r="R116" s="15"/>
      <c r="S116" s="15"/>
      <c r="T116" s="15"/>
      <c r="U116" s="15"/>
      <c r="V116" s="15"/>
    </row>
    <row r="117" spans="1:22">
      <c r="A117" s="15"/>
      <c r="B117" s="15"/>
      <c r="C117" s="15"/>
      <c r="D117" s="15"/>
      <c r="E117" s="15"/>
      <c r="F117" s="15"/>
      <c r="G117" s="15"/>
      <c r="H117" s="15"/>
      <c r="I117" s="15"/>
      <c r="J117" s="15"/>
      <c r="K117" s="15"/>
      <c r="L117" s="15"/>
      <c r="M117" s="15"/>
      <c r="N117" s="15"/>
      <c r="O117" s="15"/>
      <c r="P117" s="15"/>
      <c r="Q117" s="15"/>
      <c r="R117" s="15"/>
      <c r="S117" s="15"/>
      <c r="T117" s="15"/>
      <c r="U117" s="15"/>
      <c r="V117" s="15"/>
    </row>
    <row r="118" spans="1:22">
      <c r="A118" s="15"/>
      <c r="B118" s="15"/>
      <c r="C118" s="15"/>
      <c r="D118" s="15"/>
      <c r="E118" s="15"/>
      <c r="F118" s="15"/>
      <c r="G118" s="15"/>
      <c r="H118" s="15"/>
      <c r="I118" s="15"/>
      <c r="J118" s="15"/>
      <c r="K118" s="15"/>
      <c r="L118" s="15"/>
      <c r="M118" s="15"/>
      <c r="N118" s="15"/>
      <c r="O118" s="15"/>
      <c r="P118" s="15"/>
      <c r="Q118" s="15"/>
      <c r="R118" s="15"/>
      <c r="S118" s="15"/>
      <c r="T118" s="15"/>
      <c r="U118" s="15"/>
      <c r="V118" s="15"/>
    </row>
    <row r="119" spans="1:22">
      <c r="A119" s="15"/>
      <c r="B119" s="15"/>
      <c r="C119" s="15"/>
      <c r="D119" s="15"/>
      <c r="E119" s="15"/>
      <c r="F119" s="15"/>
      <c r="G119" s="15"/>
      <c r="H119" s="15"/>
      <c r="I119" s="15"/>
      <c r="J119" s="15"/>
      <c r="K119" s="15"/>
      <c r="L119" s="15"/>
      <c r="M119" s="15"/>
      <c r="N119" s="15"/>
      <c r="O119" s="15"/>
      <c r="P119" s="15"/>
      <c r="Q119" s="15"/>
      <c r="R119" s="15"/>
      <c r="S119" s="15"/>
      <c r="T119" s="15"/>
      <c r="U119" s="15"/>
      <c r="V119" s="15"/>
    </row>
    <row r="120" spans="1:22">
      <c r="A120" s="15"/>
      <c r="B120" s="15"/>
      <c r="C120" s="15"/>
      <c r="D120" s="15"/>
      <c r="E120" s="15"/>
      <c r="F120" s="15"/>
      <c r="G120" s="15"/>
      <c r="H120" s="15"/>
      <c r="I120" s="15"/>
      <c r="J120" s="15"/>
      <c r="K120" s="15"/>
      <c r="L120" s="15"/>
      <c r="M120" s="15"/>
      <c r="N120" s="15"/>
      <c r="O120" s="15"/>
      <c r="P120" s="15"/>
      <c r="Q120" s="15"/>
      <c r="R120" s="15"/>
      <c r="S120" s="15"/>
      <c r="T120" s="15"/>
      <c r="U120" s="15"/>
      <c r="V120" s="15"/>
    </row>
    <row r="121" spans="1:22">
      <c r="A121" s="15"/>
      <c r="B121" s="15"/>
      <c r="C121" s="15"/>
      <c r="D121" s="15"/>
      <c r="E121" s="15"/>
      <c r="F121" s="15"/>
      <c r="G121" s="15"/>
      <c r="H121" s="15"/>
      <c r="I121" s="15"/>
      <c r="J121" s="15"/>
      <c r="K121" s="15"/>
      <c r="L121" s="15"/>
      <c r="M121" s="15"/>
      <c r="N121" s="15"/>
      <c r="O121" s="15"/>
      <c r="P121" s="15"/>
      <c r="Q121" s="15"/>
      <c r="R121" s="15"/>
      <c r="S121" s="15"/>
      <c r="T121" s="15"/>
      <c r="U121" s="15"/>
      <c r="V121" s="15"/>
    </row>
    <row r="122" spans="1:22">
      <c r="A122" s="15"/>
      <c r="B122" s="15"/>
      <c r="C122" s="15"/>
      <c r="D122" s="15"/>
      <c r="E122" s="15"/>
      <c r="F122" s="15"/>
      <c r="G122" s="15"/>
      <c r="H122" s="15"/>
      <c r="I122" s="15"/>
      <c r="J122" s="15"/>
      <c r="K122" s="15"/>
      <c r="L122" s="15"/>
      <c r="M122" s="15"/>
      <c r="N122" s="15"/>
      <c r="O122" s="15"/>
      <c r="P122" s="15"/>
      <c r="Q122" s="15"/>
      <c r="R122" s="15"/>
      <c r="S122" s="15"/>
      <c r="T122" s="15"/>
      <c r="U122" s="15"/>
      <c r="V122" s="15"/>
    </row>
    <row r="123" spans="1:22">
      <c r="A123" s="15"/>
      <c r="B123" s="15"/>
      <c r="C123" s="15"/>
      <c r="D123" s="15"/>
      <c r="E123" s="15"/>
      <c r="F123" s="15"/>
      <c r="G123" s="15"/>
      <c r="H123" s="15"/>
      <c r="I123" s="15"/>
      <c r="J123" s="15"/>
      <c r="K123" s="15"/>
      <c r="L123" s="15"/>
      <c r="M123" s="15"/>
      <c r="N123" s="15"/>
      <c r="O123" s="15"/>
      <c r="P123" s="15"/>
      <c r="Q123" s="15"/>
      <c r="R123" s="15"/>
      <c r="S123" s="15"/>
      <c r="T123" s="15"/>
      <c r="U123" s="15"/>
      <c r="V123" s="15"/>
    </row>
    <row r="124" spans="1:22">
      <c r="A124" s="15"/>
      <c r="B124" s="15"/>
      <c r="C124" s="15"/>
      <c r="D124" s="15"/>
      <c r="E124" s="15"/>
      <c r="F124" s="15"/>
      <c r="G124" s="15"/>
      <c r="H124" s="15"/>
      <c r="I124" s="15"/>
      <c r="J124" s="15"/>
      <c r="K124" s="15"/>
      <c r="L124" s="15"/>
      <c r="M124" s="15"/>
      <c r="N124" s="15"/>
      <c r="O124" s="15"/>
      <c r="P124" s="15"/>
      <c r="Q124" s="15"/>
      <c r="R124" s="15"/>
      <c r="S124" s="15"/>
      <c r="T124" s="15"/>
      <c r="U124" s="15"/>
      <c r="V124" s="15"/>
    </row>
    <row r="125" spans="1:22">
      <c r="A125" s="15"/>
      <c r="B125" s="15"/>
      <c r="C125" s="15"/>
      <c r="D125" s="15"/>
      <c r="E125" s="15"/>
      <c r="F125" s="15"/>
      <c r="G125" s="15"/>
      <c r="H125" s="15"/>
      <c r="I125" s="15"/>
      <c r="J125" s="15"/>
      <c r="K125" s="15"/>
      <c r="L125" s="15"/>
      <c r="M125" s="15"/>
      <c r="N125" s="15"/>
      <c r="O125" s="15"/>
      <c r="P125" s="15"/>
      <c r="Q125" s="15"/>
      <c r="R125" s="15"/>
      <c r="S125" s="15"/>
      <c r="T125" s="15"/>
      <c r="U125" s="15"/>
      <c r="V125" s="15"/>
    </row>
    <row r="126" spans="1:22">
      <c r="A126" s="15"/>
      <c r="B126" s="15"/>
      <c r="C126" s="15"/>
      <c r="D126" s="15"/>
      <c r="E126" s="15"/>
      <c r="F126" s="15"/>
      <c r="G126" s="15"/>
      <c r="H126" s="15"/>
      <c r="I126" s="15"/>
      <c r="J126" s="15"/>
      <c r="K126" s="15"/>
      <c r="L126" s="15"/>
      <c r="M126" s="15"/>
      <c r="N126" s="15"/>
      <c r="O126" s="15"/>
      <c r="P126" s="15"/>
      <c r="Q126" s="15"/>
      <c r="R126" s="15"/>
      <c r="S126" s="15"/>
      <c r="T126" s="15"/>
      <c r="U126" s="15"/>
      <c r="V126" s="15"/>
    </row>
    <row r="127" spans="1:22">
      <c r="A127" s="15"/>
      <c r="B127" s="15"/>
      <c r="C127" s="15"/>
      <c r="D127" s="15"/>
      <c r="E127" s="15"/>
      <c r="F127" s="15"/>
      <c r="G127" s="15"/>
      <c r="H127" s="15"/>
      <c r="I127" s="15"/>
      <c r="J127" s="15"/>
      <c r="K127" s="15"/>
      <c r="L127" s="15"/>
      <c r="M127" s="15"/>
      <c r="N127" s="15"/>
      <c r="O127" s="15"/>
      <c r="P127" s="15"/>
      <c r="Q127" s="15"/>
      <c r="R127" s="15"/>
      <c r="S127" s="15"/>
      <c r="T127" s="15"/>
      <c r="U127" s="15"/>
      <c r="V127" s="15"/>
    </row>
    <row r="128" spans="1:22">
      <c r="A128" s="15"/>
      <c r="B128" s="15"/>
      <c r="C128" s="15"/>
      <c r="D128" s="15"/>
      <c r="E128" s="15"/>
      <c r="F128" s="15"/>
      <c r="G128" s="15"/>
      <c r="H128" s="15"/>
      <c r="I128" s="15"/>
      <c r="J128" s="15"/>
      <c r="K128" s="15"/>
      <c r="L128" s="15"/>
      <c r="M128" s="15"/>
      <c r="N128" s="15"/>
      <c r="O128" s="15"/>
      <c r="P128" s="15"/>
      <c r="Q128" s="15"/>
      <c r="R128" s="15"/>
      <c r="S128" s="15"/>
      <c r="T128" s="15"/>
      <c r="U128" s="15"/>
      <c r="V128" s="15"/>
    </row>
    <row r="129" spans="1:22">
      <c r="A129" s="15"/>
      <c r="B129" s="15"/>
      <c r="C129" s="15"/>
      <c r="D129" s="15"/>
      <c r="E129" s="15"/>
      <c r="F129" s="15"/>
      <c r="G129" s="15"/>
      <c r="H129" s="15"/>
      <c r="I129" s="15"/>
      <c r="J129" s="15"/>
      <c r="K129" s="15"/>
      <c r="L129" s="15"/>
      <c r="M129" s="15"/>
      <c r="N129" s="15"/>
      <c r="O129" s="15"/>
      <c r="P129" s="15"/>
      <c r="Q129" s="15"/>
      <c r="R129" s="15"/>
      <c r="S129" s="15"/>
      <c r="T129" s="15"/>
      <c r="U129" s="15"/>
      <c r="V129" s="15"/>
    </row>
    <row r="130" spans="1:22">
      <c r="A130" s="15"/>
      <c r="B130" s="15"/>
      <c r="C130" s="15"/>
      <c r="D130" s="15"/>
      <c r="E130" s="15"/>
      <c r="F130" s="15"/>
      <c r="G130" s="15"/>
      <c r="H130" s="15"/>
      <c r="I130" s="15"/>
      <c r="J130" s="15"/>
      <c r="K130" s="15"/>
      <c r="L130" s="15"/>
      <c r="M130" s="15"/>
      <c r="N130" s="15"/>
      <c r="O130" s="15"/>
      <c r="P130" s="15"/>
      <c r="Q130" s="15"/>
      <c r="R130" s="15"/>
      <c r="S130" s="15"/>
      <c r="T130" s="15"/>
      <c r="U130" s="15"/>
      <c r="V130" s="15"/>
    </row>
    <row r="131" spans="1:22">
      <c r="A131" s="15"/>
      <c r="B131" s="15"/>
      <c r="C131" s="15"/>
      <c r="D131" s="15"/>
      <c r="E131" s="15"/>
      <c r="F131" s="15"/>
      <c r="G131" s="15"/>
      <c r="H131" s="15"/>
      <c r="I131" s="15"/>
      <c r="J131" s="15"/>
      <c r="K131" s="15"/>
      <c r="L131" s="15"/>
      <c r="M131" s="15"/>
      <c r="N131" s="15"/>
      <c r="O131" s="15"/>
      <c r="P131" s="15"/>
      <c r="Q131" s="15"/>
      <c r="R131" s="15"/>
      <c r="S131" s="15"/>
      <c r="T131" s="15"/>
      <c r="U131" s="15"/>
      <c r="V131" s="15"/>
    </row>
    <row r="132" spans="1:22">
      <c r="A132" s="15"/>
      <c r="B132" s="15"/>
      <c r="C132" s="15"/>
      <c r="D132" s="15"/>
      <c r="E132" s="15"/>
      <c r="F132" s="15"/>
      <c r="G132" s="15"/>
      <c r="H132" s="15"/>
      <c r="I132" s="15"/>
      <c r="J132" s="15"/>
      <c r="K132" s="15"/>
      <c r="L132" s="15"/>
      <c r="M132" s="15"/>
      <c r="N132" s="15"/>
      <c r="O132" s="15"/>
      <c r="P132" s="15"/>
      <c r="Q132" s="15"/>
      <c r="R132" s="15"/>
      <c r="S132" s="15"/>
      <c r="T132" s="15"/>
      <c r="U132" s="15"/>
      <c r="V132" s="15"/>
    </row>
    <row r="133" spans="1:22">
      <c r="A133" s="15"/>
      <c r="B133" s="15"/>
      <c r="C133" s="15"/>
      <c r="D133" s="15"/>
      <c r="E133" s="15"/>
      <c r="F133" s="15"/>
      <c r="G133" s="15"/>
      <c r="H133" s="15"/>
      <c r="I133" s="15"/>
      <c r="J133" s="15"/>
      <c r="K133" s="15"/>
      <c r="L133" s="15"/>
      <c r="M133" s="15"/>
      <c r="N133" s="15"/>
      <c r="O133" s="15"/>
      <c r="P133" s="15"/>
      <c r="Q133" s="15"/>
      <c r="R133" s="15"/>
      <c r="S133" s="15"/>
      <c r="T133" s="15"/>
      <c r="U133" s="15"/>
      <c r="V133" s="15"/>
    </row>
    <row r="134" spans="1:22">
      <c r="A134" s="15"/>
      <c r="B134" s="15"/>
      <c r="C134" s="15"/>
      <c r="D134" s="15"/>
      <c r="E134" s="15"/>
      <c r="F134" s="15"/>
      <c r="G134" s="15"/>
      <c r="H134" s="15"/>
      <c r="I134" s="15"/>
      <c r="J134" s="15"/>
      <c r="K134" s="15"/>
      <c r="L134" s="15"/>
      <c r="M134" s="15"/>
      <c r="N134" s="15"/>
      <c r="O134" s="15"/>
      <c r="P134" s="15"/>
      <c r="Q134" s="15"/>
      <c r="R134" s="15"/>
      <c r="S134" s="15"/>
      <c r="T134" s="15"/>
      <c r="U134" s="15"/>
      <c r="V134" s="15"/>
    </row>
    <row r="135" spans="1:22">
      <c r="A135" s="15"/>
      <c r="B135" s="15"/>
      <c r="C135" s="15"/>
      <c r="D135" s="15"/>
      <c r="E135" s="15"/>
      <c r="F135" s="15"/>
      <c r="G135" s="15"/>
      <c r="H135" s="15"/>
      <c r="I135" s="15"/>
      <c r="J135" s="15"/>
      <c r="K135" s="15"/>
      <c r="L135" s="15"/>
      <c r="M135" s="15"/>
      <c r="N135" s="15"/>
      <c r="O135" s="15"/>
      <c r="P135" s="15"/>
      <c r="Q135" s="15"/>
      <c r="R135" s="15"/>
      <c r="S135" s="15"/>
      <c r="T135" s="15"/>
      <c r="U135" s="15"/>
      <c r="V135" s="15"/>
    </row>
    <row r="136" spans="1:22">
      <c r="A136" s="15"/>
      <c r="B136" s="15"/>
      <c r="C136" s="15"/>
      <c r="D136" s="15"/>
      <c r="E136" s="15"/>
      <c r="F136" s="15"/>
      <c r="G136" s="15"/>
      <c r="H136" s="15"/>
      <c r="I136" s="15"/>
      <c r="J136" s="15"/>
      <c r="K136" s="15"/>
      <c r="L136" s="15"/>
      <c r="M136" s="15"/>
      <c r="N136" s="15"/>
      <c r="O136" s="15"/>
      <c r="P136" s="15"/>
      <c r="Q136" s="15"/>
      <c r="R136" s="15"/>
      <c r="S136" s="15"/>
      <c r="T136" s="15"/>
      <c r="U136" s="15"/>
      <c r="V136" s="15"/>
    </row>
    <row r="137" spans="1:22">
      <c r="A137" s="15"/>
      <c r="B137" s="15"/>
      <c r="C137" s="15"/>
      <c r="D137" s="15"/>
      <c r="E137" s="15"/>
      <c r="F137" s="15"/>
      <c r="G137" s="15"/>
      <c r="H137" s="15"/>
      <c r="I137" s="15"/>
      <c r="J137" s="15"/>
      <c r="K137" s="15"/>
      <c r="L137" s="15"/>
      <c r="M137" s="15"/>
      <c r="N137" s="15"/>
      <c r="O137" s="15"/>
      <c r="P137" s="15"/>
      <c r="Q137" s="15"/>
      <c r="R137" s="15"/>
      <c r="S137" s="15"/>
      <c r="T137" s="15"/>
      <c r="U137" s="15"/>
      <c r="V137" s="15"/>
    </row>
    <row r="138" spans="1:22">
      <c r="A138" s="15"/>
      <c r="B138" s="15"/>
      <c r="C138" s="15"/>
      <c r="D138" s="15"/>
      <c r="E138" s="15"/>
      <c r="F138" s="15"/>
      <c r="G138" s="15"/>
      <c r="H138" s="15"/>
      <c r="I138" s="15"/>
      <c r="J138" s="15"/>
      <c r="K138" s="15"/>
      <c r="L138" s="15"/>
      <c r="M138" s="15"/>
      <c r="N138" s="15"/>
      <c r="O138" s="15"/>
      <c r="P138" s="15"/>
      <c r="Q138" s="15"/>
      <c r="R138" s="15"/>
      <c r="S138" s="15"/>
      <c r="T138" s="15"/>
      <c r="U138" s="15"/>
      <c r="V138" s="15"/>
    </row>
    <row r="139" spans="1:22">
      <c r="A139" s="15"/>
      <c r="B139" s="15"/>
      <c r="C139" s="15"/>
      <c r="D139" s="15"/>
      <c r="E139" s="15"/>
      <c r="F139" s="15"/>
      <c r="G139" s="15"/>
      <c r="H139" s="15"/>
      <c r="I139" s="15"/>
      <c r="J139" s="15"/>
      <c r="K139" s="15"/>
      <c r="L139" s="15"/>
      <c r="M139" s="15"/>
      <c r="N139" s="15"/>
      <c r="O139" s="15"/>
      <c r="P139" s="15"/>
      <c r="Q139" s="15"/>
      <c r="R139" s="15"/>
      <c r="S139" s="15"/>
      <c r="T139" s="15"/>
      <c r="U139" s="15"/>
      <c r="V139" s="15"/>
    </row>
    <row r="140" spans="1:22">
      <c r="A140" s="15"/>
      <c r="B140" s="15"/>
      <c r="C140" s="15"/>
      <c r="D140" s="15"/>
      <c r="E140" s="15"/>
      <c r="F140" s="15"/>
      <c r="G140" s="15"/>
      <c r="H140" s="15"/>
      <c r="I140" s="15"/>
      <c r="J140" s="15"/>
      <c r="K140" s="15"/>
      <c r="L140" s="15"/>
      <c r="M140" s="15"/>
      <c r="N140" s="15"/>
      <c r="O140" s="15"/>
      <c r="P140" s="15"/>
      <c r="Q140" s="15"/>
      <c r="R140" s="15"/>
      <c r="S140" s="15"/>
      <c r="T140" s="15"/>
      <c r="U140" s="15"/>
      <c r="V140" s="15"/>
    </row>
    <row r="141" spans="1:22">
      <c r="A141" s="15"/>
      <c r="B141" s="15"/>
      <c r="C141" s="15"/>
      <c r="D141" s="15"/>
      <c r="E141" s="15"/>
      <c r="F141" s="15"/>
      <c r="G141" s="15"/>
      <c r="H141" s="15"/>
      <c r="I141" s="15"/>
      <c r="J141" s="15"/>
      <c r="K141" s="15"/>
      <c r="L141" s="15"/>
      <c r="M141" s="15"/>
      <c r="N141" s="15"/>
      <c r="O141" s="15"/>
      <c r="P141" s="15"/>
      <c r="Q141" s="15"/>
      <c r="R141" s="15"/>
      <c r="S141" s="15"/>
      <c r="T141" s="15"/>
      <c r="U141" s="15"/>
      <c r="V141" s="15"/>
    </row>
    <row r="142" spans="1:22">
      <c r="A142" s="15"/>
      <c r="B142" s="15"/>
      <c r="C142" s="15"/>
      <c r="D142" s="15"/>
      <c r="E142" s="15"/>
      <c r="F142" s="15"/>
      <c r="G142" s="15"/>
      <c r="H142" s="15"/>
      <c r="I142" s="15"/>
      <c r="J142" s="15"/>
      <c r="K142" s="15"/>
      <c r="L142" s="15"/>
      <c r="M142" s="15"/>
      <c r="N142" s="15"/>
      <c r="O142" s="15"/>
      <c r="P142" s="15"/>
      <c r="Q142" s="15"/>
      <c r="R142" s="15"/>
      <c r="S142" s="15"/>
      <c r="T142" s="15"/>
      <c r="U142" s="15"/>
      <c r="V142" s="15"/>
    </row>
    <row r="143" spans="1:22">
      <c r="A143" s="15"/>
      <c r="B143" s="15"/>
      <c r="C143" s="15"/>
      <c r="D143" s="15"/>
      <c r="E143" s="15"/>
      <c r="F143" s="15"/>
      <c r="G143" s="15"/>
      <c r="H143" s="15"/>
      <c r="I143" s="15"/>
      <c r="J143" s="15"/>
      <c r="K143" s="15"/>
      <c r="L143" s="15"/>
      <c r="M143" s="15"/>
      <c r="N143" s="15"/>
      <c r="O143" s="15"/>
      <c r="P143" s="15"/>
      <c r="Q143" s="15"/>
      <c r="R143" s="15"/>
      <c r="S143" s="15"/>
      <c r="T143" s="15"/>
      <c r="U143" s="15"/>
      <c r="V143" s="15"/>
    </row>
    <row r="144" spans="1:22">
      <c r="A144" s="15"/>
      <c r="B144" s="15"/>
      <c r="C144" s="15"/>
      <c r="D144" s="15"/>
      <c r="E144" s="15"/>
      <c r="F144" s="15"/>
      <c r="G144" s="15"/>
      <c r="H144" s="15"/>
      <c r="I144" s="15"/>
      <c r="J144" s="15"/>
      <c r="K144" s="15"/>
      <c r="L144" s="15"/>
      <c r="M144" s="15"/>
      <c r="N144" s="15"/>
      <c r="O144" s="15"/>
      <c r="P144" s="15"/>
      <c r="Q144" s="15"/>
      <c r="R144" s="15"/>
      <c r="S144" s="15"/>
      <c r="T144" s="15"/>
      <c r="U144" s="15"/>
      <c r="V144" s="15"/>
    </row>
    <row r="145" spans="1:22">
      <c r="A145" s="15"/>
      <c r="B145" s="15"/>
      <c r="C145" s="15"/>
      <c r="D145" s="15"/>
      <c r="E145" s="15"/>
      <c r="F145" s="15"/>
      <c r="G145" s="15"/>
      <c r="H145" s="15"/>
      <c r="I145" s="15"/>
      <c r="J145" s="15"/>
      <c r="K145" s="15"/>
      <c r="L145" s="15"/>
      <c r="M145" s="15"/>
      <c r="N145" s="15"/>
      <c r="O145" s="15"/>
      <c r="P145" s="15"/>
      <c r="Q145" s="15"/>
      <c r="R145" s="15"/>
      <c r="S145" s="15"/>
      <c r="T145" s="15"/>
      <c r="U145" s="15"/>
      <c r="V145" s="15"/>
    </row>
    <row r="146" spans="1:22">
      <c r="A146" s="15"/>
      <c r="B146" s="15"/>
      <c r="C146" s="15"/>
      <c r="D146" s="15"/>
      <c r="E146" s="15"/>
      <c r="F146" s="15"/>
      <c r="G146" s="15"/>
      <c r="H146" s="15"/>
      <c r="I146" s="15"/>
      <c r="J146" s="15"/>
      <c r="K146" s="15"/>
      <c r="L146" s="15"/>
      <c r="M146" s="15"/>
      <c r="N146" s="15"/>
      <c r="O146" s="15"/>
      <c r="P146" s="15"/>
      <c r="Q146" s="15"/>
      <c r="R146" s="15"/>
      <c r="S146" s="15"/>
      <c r="T146" s="15"/>
      <c r="U146" s="15"/>
      <c r="V146" s="15"/>
    </row>
    <row r="147" spans="1:22">
      <c r="A147" s="15"/>
      <c r="B147" s="15"/>
      <c r="C147" s="15"/>
      <c r="D147" s="15"/>
      <c r="E147" s="15"/>
      <c r="F147" s="15"/>
      <c r="G147" s="15"/>
      <c r="H147" s="15"/>
      <c r="I147" s="15"/>
      <c r="J147" s="15"/>
      <c r="K147" s="15"/>
      <c r="L147" s="15"/>
      <c r="M147" s="15"/>
      <c r="N147" s="15"/>
      <c r="O147" s="15"/>
      <c r="P147" s="15"/>
      <c r="Q147" s="15"/>
      <c r="R147" s="15"/>
      <c r="S147" s="15"/>
      <c r="T147" s="15"/>
      <c r="U147" s="15"/>
      <c r="V147" s="15"/>
    </row>
    <row r="148" spans="1:22">
      <c r="A148" s="15"/>
      <c r="B148" s="15"/>
      <c r="C148" s="15"/>
      <c r="D148" s="15"/>
      <c r="E148" s="15"/>
      <c r="F148" s="15"/>
      <c r="G148" s="15"/>
      <c r="H148" s="15"/>
      <c r="I148" s="15"/>
      <c r="J148" s="15"/>
      <c r="K148" s="15"/>
      <c r="L148" s="15"/>
      <c r="M148" s="15"/>
      <c r="N148" s="15"/>
      <c r="O148" s="15"/>
      <c r="P148" s="15"/>
      <c r="Q148" s="15"/>
      <c r="R148" s="15"/>
      <c r="S148" s="15"/>
      <c r="T148" s="15"/>
      <c r="U148" s="15"/>
      <c r="V148" s="15"/>
    </row>
    <row r="149" spans="1:22">
      <c r="A149" s="15"/>
      <c r="B149" s="15"/>
      <c r="C149" s="15"/>
      <c r="D149" s="15"/>
      <c r="E149" s="15"/>
      <c r="F149" s="15"/>
      <c r="G149" s="15"/>
      <c r="H149" s="15"/>
      <c r="I149" s="15"/>
      <c r="J149" s="15"/>
      <c r="K149" s="15"/>
      <c r="L149" s="15"/>
      <c r="M149" s="15"/>
      <c r="N149" s="15"/>
      <c r="O149" s="15"/>
      <c r="P149" s="15"/>
      <c r="Q149" s="15"/>
      <c r="R149" s="15"/>
      <c r="S149" s="15"/>
      <c r="T149" s="15"/>
      <c r="U149" s="15"/>
      <c r="V149" s="15"/>
    </row>
    <row r="150" spans="1:22">
      <c r="A150" s="15"/>
      <c r="B150" s="15"/>
      <c r="C150" s="15"/>
      <c r="D150" s="15"/>
      <c r="E150" s="15"/>
      <c r="F150" s="15"/>
      <c r="G150" s="15"/>
      <c r="H150" s="15"/>
      <c r="I150" s="15"/>
      <c r="J150" s="15"/>
      <c r="K150" s="15"/>
      <c r="L150" s="15"/>
      <c r="M150" s="15"/>
      <c r="N150" s="15"/>
      <c r="O150" s="15"/>
      <c r="P150" s="15"/>
      <c r="Q150" s="15"/>
      <c r="R150" s="15"/>
      <c r="S150" s="15"/>
      <c r="T150" s="15"/>
      <c r="U150" s="15"/>
      <c r="V150" s="15"/>
    </row>
    <row r="151" spans="1:22">
      <c r="A151" s="15"/>
      <c r="B151" s="15"/>
      <c r="C151" s="15"/>
      <c r="D151" s="15"/>
      <c r="E151" s="15"/>
      <c r="F151" s="15"/>
      <c r="G151" s="15"/>
      <c r="H151" s="15"/>
      <c r="I151" s="15"/>
      <c r="J151" s="15"/>
      <c r="K151" s="15"/>
      <c r="L151" s="15"/>
      <c r="M151" s="15"/>
      <c r="N151" s="15"/>
      <c r="O151" s="15"/>
      <c r="P151" s="15"/>
      <c r="Q151" s="15"/>
      <c r="R151" s="15"/>
      <c r="S151" s="15"/>
      <c r="T151" s="15"/>
      <c r="U151" s="15"/>
      <c r="V151" s="15"/>
    </row>
    <row r="152" spans="1:22">
      <c r="A152" s="15"/>
      <c r="B152" s="15"/>
      <c r="C152" s="15"/>
      <c r="D152" s="15"/>
      <c r="E152" s="15"/>
      <c r="F152" s="15"/>
      <c r="G152" s="15"/>
      <c r="H152" s="15"/>
      <c r="I152" s="15"/>
      <c r="J152" s="15"/>
      <c r="K152" s="15"/>
      <c r="L152" s="15"/>
      <c r="M152" s="15"/>
      <c r="N152" s="15"/>
      <c r="O152" s="15"/>
      <c r="P152" s="15"/>
      <c r="Q152" s="15"/>
      <c r="R152" s="15"/>
      <c r="S152" s="15"/>
      <c r="T152" s="15"/>
      <c r="U152" s="15"/>
      <c r="V152" s="15"/>
    </row>
    <row r="153" spans="1:22">
      <c r="A153" s="15"/>
      <c r="B153" s="15"/>
      <c r="C153" s="15"/>
      <c r="D153" s="15"/>
      <c r="E153" s="15"/>
      <c r="F153" s="15"/>
      <c r="G153" s="15"/>
      <c r="H153" s="15"/>
      <c r="I153" s="15"/>
      <c r="J153" s="15"/>
      <c r="K153" s="15"/>
      <c r="L153" s="15"/>
      <c r="M153" s="15"/>
      <c r="N153" s="15"/>
      <c r="O153" s="15"/>
      <c r="P153" s="15"/>
      <c r="Q153" s="15"/>
      <c r="R153" s="15"/>
      <c r="S153" s="15"/>
      <c r="T153" s="15"/>
      <c r="U153" s="15"/>
      <c r="V153" s="15"/>
    </row>
    <row r="154" spans="1:22">
      <c r="A154" s="15"/>
      <c r="B154" s="15"/>
      <c r="C154" s="15"/>
      <c r="D154" s="15"/>
      <c r="E154" s="15"/>
      <c r="F154" s="15"/>
      <c r="G154" s="15"/>
      <c r="H154" s="15"/>
      <c r="I154" s="15"/>
      <c r="J154" s="15"/>
      <c r="K154" s="15"/>
      <c r="L154" s="15"/>
      <c r="M154" s="15"/>
      <c r="N154" s="15"/>
      <c r="O154" s="15"/>
      <c r="P154" s="15"/>
      <c r="Q154" s="15"/>
      <c r="R154" s="15"/>
      <c r="S154" s="15"/>
      <c r="T154" s="15"/>
      <c r="U154" s="15"/>
      <c r="V154" s="15"/>
    </row>
    <row r="155" spans="1:22">
      <c r="A155" s="15"/>
      <c r="B155" s="15"/>
      <c r="C155" s="15"/>
      <c r="D155" s="15"/>
      <c r="E155" s="15"/>
      <c r="F155" s="15"/>
      <c r="G155" s="15"/>
      <c r="H155" s="15"/>
      <c r="I155" s="15"/>
      <c r="J155" s="15"/>
      <c r="K155" s="15"/>
      <c r="L155" s="15"/>
      <c r="M155" s="15"/>
      <c r="N155" s="15"/>
      <c r="O155" s="15"/>
      <c r="P155" s="15"/>
      <c r="Q155" s="15"/>
      <c r="R155" s="15"/>
      <c r="S155" s="15"/>
      <c r="T155" s="15"/>
      <c r="U155" s="15"/>
      <c r="V155" s="15"/>
    </row>
    <row r="156" spans="1:22">
      <c r="A156" s="15"/>
      <c r="B156" s="15"/>
      <c r="C156" s="15"/>
      <c r="D156" s="15"/>
      <c r="E156" s="15"/>
      <c r="F156" s="15"/>
      <c r="G156" s="15"/>
      <c r="H156" s="15"/>
      <c r="I156" s="15"/>
      <c r="J156" s="15"/>
      <c r="K156" s="15"/>
      <c r="L156" s="15"/>
      <c r="M156" s="15"/>
      <c r="N156" s="15"/>
      <c r="O156" s="15"/>
      <c r="P156" s="15"/>
      <c r="Q156" s="15"/>
      <c r="R156" s="15"/>
      <c r="S156" s="15"/>
      <c r="T156" s="15"/>
      <c r="U156" s="15"/>
      <c r="V156" s="15"/>
    </row>
    <row r="157" spans="1:22">
      <c r="A157" s="15"/>
      <c r="B157" s="15"/>
      <c r="C157" s="15"/>
      <c r="D157" s="15"/>
      <c r="E157" s="15"/>
      <c r="F157" s="15"/>
      <c r="G157" s="15"/>
      <c r="H157" s="15"/>
      <c r="I157" s="15"/>
      <c r="J157" s="15"/>
      <c r="K157" s="15"/>
      <c r="L157" s="15"/>
      <c r="M157" s="15"/>
      <c r="N157" s="15"/>
      <c r="O157" s="15"/>
      <c r="P157" s="15"/>
      <c r="Q157" s="15"/>
      <c r="R157" s="15"/>
      <c r="S157" s="15"/>
      <c r="T157" s="15"/>
      <c r="U157" s="15"/>
      <c r="V157" s="15"/>
    </row>
    <row r="158" spans="1:22">
      <c r="A158" s="15"/>
      <c r="B158" s="15"/>
      <c r="C158" s="15"/>
      <c r="D158" s="15"/>
      <c r="E158" s="15"/>
      <c r="F158" s="15"/>
      <c r="G158" s="15"/>
      <c r="H158" s="15"/>
      <c r="I158" s="15"/>
      <c r="J158" s="15"/>
      <c r="K158" s="15"/>
      <c r="L158" s="15"/>
      <c r="M158" s="15"/>
      <c r="N158" s="15"/>
      <c r="O158" s="15"/>
      <c r="P158" s="15"/>
      <c r="Q158" s="15"/>
      <c r="R158" s="15"/>
      <c r="S158" s="15"/>
      <c r="T158" s="15"/>
      <c r="U158" s="15"/>
      <c r="V158" s="15"/>
    </row>
    <row r="159" spans="1:22">
      <c r="A159" s="15"/>
      <c r="B159" s="15"/>
      <c r="C159" s="15"/>
      <c r="D159" s="15"/>
      <c r="E159" s="15"/>
      <c r="F159" s="15"/>
      <c r="G159" s="15"/>
      <c r="H159" s="15"/>
      <c r="I159" s="15"/>
      <c r="J159" s="15"/>
      <c r="K159" s="15"/>
      <c r="L159" s="15"/>
      <c r="M159" s="15"/>
      <c r="N159" s="15"/>
      <c r="O159" s="15"/>
      <c r="P159" s="15"/>
      <c r="Q159" s="15"/>
      <c r="R159" s="15"/>
      <c r="S159" s="15"/>
      <c r="T159" s="15"/>
      <c r="U159" s="15"/>
      <c r="V159" s="15"/>
    </row>
    <row r="160" spans="1:22">
      <c r="A160" s="15"/>
      <c r="B160" s="15"/>
      <c r="C160" s="15"/>
      <c r="D160" s="15"/>
      <c r="E160" s="15"/>
      <c r="F160" s="15"/>
      <c r="G160" s="15"/>
      <c r="H160" s="15"/>
      <c r="I160" s="15"/>
      <c r="J160" s="15"/>
      <c r="K160" s="15"/>
      <c r="L160" s="15"/>
      <c r="M160" s="15"/>
      <c r="N160" s="15"/>
      <c r="O160" s="15"/>
      <c r="P160" s="15"/>
      <c r="Q160" s="15"/>
      <c r="R160" s="15"/>
      <c r="S160" s="15"/>
      <c r="T160" s="15"/>
      <c r="U160" s="15"/>
      <c r="V160" s="15"/>
    </row>
    <row r="161" spans="1:22">
      <c r="A161" s="15"/>
      <c r="B161" s="15"/>
      <c r="C161" s="15"/>
      <c r="D161" s="15"/>
      <c r="E161" s="15"/>
      <c r="F161" s="15"/>
      <c r="G161" s="15"/>
      <c r="H161" s="15"/>
      <c r="I161" s="15"/>
      <c r="J161" s="15"/>
      <c r="K161" s="15"/>
      <c r="L161" s="15"/>
      <c r="M161" s="15"/>
      <c r="N161" s="15"/>
      <c r="O161" s="15"/>
      <c r="P161" s="15"/>
      <c r="Q161" s="15"/>
      <c r="R161" s="15"/>
      <c r="S161" s="15"/>
      <c r="T161" s="15"/>
      <c r="U161" s="15"/>
      <c r="V161" s="15"/>
    </row>
    <row r="162" spans="1:22">
      <c r="A162" s="15"/>
      <c r="B162" s="15"/>
      <c r="C162" s="15"/>
      <c r="D162" s="15"/>
      <c r="E162" s="15"/>
      <c r="F162" s="15"/>
      <c r="G162" s="15"/>
      <c r="H162" s="15"/>
      <c r="I162" s="15"/>
      <c r="J162" s="15"/>
      <c r="K162" s="15"/>
      <c r="L162" s="15"/>
      <c r="M162" s="15"/>
      <c r="N162" s="15"/>
      <c r="O162" s="15"/>
      <c r="P162" s="15"/>
      <c r="Q162" s="15"/>
      <c r="R162" s="15"/>
      <c r="S162" s="15"/>
      <c r="T162" s="15"/>
      <c r="U162" s="15"/>
      <c r="V162" s="15"/>
    </row>
    <row r="163" spans="1:22">
      <c r="A163" s="15"/>
      <c r="B163" s="15"/>
      <c r="C163" s="15"/>
      <c r="D163" s="15"/>
      <c r="E163" s="15"/>
      <c r="F163" s="15"/>
      <c r="G163" s="15"/>
      <c r="H163" s="15"/>
      <c r="I163" s="15"/>
      <c r="J163" s="15"/>
      <c r="K163" s="15"/>
      <c r="L163" s="15"/>
      <c r="M163" s="15"/>
      <c r="N163" s="15"/>
      <c r="O163" s="15"/>
      <c r="P163" s="15"/>
      <c r="Q163" s="15"/>
      <c r="R163" s="15"/>
      <c r="S163" s="15"/>
      <c r="T163" s="15"/>
      <c r="U163" s="15"/>
      <c r="V163" s="15"/>
    </row>
    <row r="164" spans="1:22">
      <c r="A164" s="15"/>
      <c r="B164" s="15"/>
      <c r="C164" s="15"/>
      <c r="D164" s="15"/>
      <c r="E164" s="15"/>
      <c r="F164" s="15"/>
      <c r="G164" s="15"/>
      <c r="H164" s="15"/>
      <c r="I164" s="15"/>
      <c r="J164" s="15"/>
      <c r="K164" s="15"/>
      <c r="L164" s="15"/>
      <c r="M164" s="15"/>
      <c r="N164" s="15"/>
      <c r="O164" s="15"/>
      <c r="P164" s="15"/>
      <c r="Q164" s="15"/>
      <c r="R164" s="15"/>
      <c r="S164" s="15"/>
      <c r="T164" s="15"/>
      <c r="U164" s="15"/>
      <c r="V164" s="15"/>
    </row>
    <row r="165" spans="1:22">
      <c r="A165" s="15"/>
      <c r="B165" s="15"/>
      <c r="C165" s="15"/>
      <c r="D165" s="15"/>
      <c r="E165" s="15"/>
      <c r="F165" s="15"/>
      <c r="G165" s="15"/>
      <c r="H165" s="15"/>
      <c r="I165" s="15"/>
      <c r="J165" s="15"/>
      <c r="K165" s="15"/>
      <c r="L165" s="15"/>
      <c r="M165" s="15"/>
      <c r="N165" s="15"/>
      <c r="O165" s="15"/>
      <c r="P165" s="15"/>
      <c r="Q165" s="15"/>
      <c r="R165" s="15"/>
      <c r="S165" s="15"/>
      <c r="T165" s="15"/>
      <c r="U165" s="15"/>
      <c r="V165" s="15"/>
    </row>
    <row r="166" spans="1:22">
      <c r="A166" s="15"/>
      <c r="B166" s="15"/>
      <c r="C166" s="15"/>
      <c r="D166" s="15"/>
      <c r="E166" s="15"/>
      <c r="F166" s="15"/>
      <c r="G166" s="15"/>
      <c r="H166" s="15"/>
      <c r="I166" s="15"/>
      <c r="J166" s="15"/>
      <c r="K166" s="15"/>
      <c r="L166" s="15"/>
      <c r="M166" s="15"/>
      <c r="N166" s="15"/>
      <c r="O166" s="15"/>
      <c r="P166" s="15"/>
      <c r="Q166" s="15"/>
      <c r="R166" s="15"/>
      <c r="S166" s="15"/>
      <c r="T166" s="15"/>
      <c r="U166" s="15"/>
      <c r="V166" s="15"/>
    </row>
    <row r="167" spans="1:22">
      <c r="A167" s="15"/>
      <c r="B167" s="15"/>
      <c r="C167" s="15"/>
      <c r="D167" s="15"/>
      <c r="E167" s="15"/>
      <c r="F167" s="15"/>
      <c r="G167" s="15"/>
      <c r="H167" s="15"/>
      <c r="I167" s="15"/>
      <c r="J167" s="15"/>
      <c r="K167" s="15"/>
      <c r="L167" s="15"/>
      <c r="M167" s="15"/>
      <c r="N167" s="15"/>
      <c r="O167" s="15"/>
      <c r="P167" s="15"/>
      <c r="Q167" s="15"/>
      <c r="R167" s="15"/>
      <c r="S167" s="15"/>
      <c r="T167" s="15"/>
      <c r="U167" s="15"/>
      <c r="V167" s="15"/>
    </row>
    <row r="168" spans="1:22">
      <c r="A168" s="15"/>
      <c r="B168" s="15"/>
      <c r="C168" s="15"/>
      <c r="D168" s="15"/>
      <c r="E168" s="15"/>
      <c r="F168" s="15"/>
      <c r="G168" s="15"/>
      <c r="H168" s="15"/>
      <c r="I168" s="15"/>
      <c r="J168" s="15"/>
      <c r="K168" s="15"/>
      <c r="L168" s="15"/>
      <c r="M168" s="15"/>
      <c r="N168" s="15"/>
      <c r="O168" s="15"/>
      <c r="P168" s="15"/>
      <c r="Q168" s="15"/>
      <c r="R168" s="15"/>
      <c r="S168" s="15"/>
      <c r="T168" s="15"/>
      <c r="U168" s="15"/>
      <c r="V168" s="15"/>
    </row>
    <row r="169" spans="1:22">
      <c r="A169" s="15"/>
      <c r="B169" s="15"/>
      <c r="C169" s="15"/>
      <c r="D169" s="15"/>
      <c r="E169" s="15"/>
      <c r="F169" s="15"/>
      <c r="G169" s="15"/>
      <c r="H169" s="15"/>
      <c r="I169" s="15"/>
      <c r="J169" s="15"/>
      <c r="K169" s="15"/>
      <c r="L169" s="15"/>
      <c r="M169" s="15"/>
      <c r="N169" s="15"/>
      <c r="O169" s="15"/>
      <c r="P169" s="15"/>
      <c r="Q169" s="15"/>
      <c r="R169" s="15"/>
      <c r="S169" s="15"/>
      <c r="T169" s="15"/>
      <c r="U169" s="15"/>
      <c r="V169" s="15"/>
    </row>
    <row r="170" spans="1:22">
      <c r="A170" s="15"/>
      <c r="B170" s="15"/>
      <c r="C170" s="15"/>
      <c r="D170" s="15"/>
      <c r="E170" s="15"/>
      <c r="F170" s="15"/>
      <c r="G170" s="15"/>
      <c r="H170" s="15"/>
      <c r="I170" s="15"/>
      <c r="J170" s="15"/>
      <c r="K170" s="15"/>
      <c r="L170" s="15"/>
      <c r="M170" s="15"/>
      <c r="N170" s="15"/>
      <c r="O170" s="15"/>
      <c r="P170" s="15"/>
      <c r="Q170" s="15"/>
      <c r="R170" s="15"/>
      <c r="S170" s="15"/>
      <c r="T170" s="15"/>
      <c r="U170" s="15"/>
      <c r="V170" s="15"/>
    </row>
    <row r="171" spans="1:22">
      <c r="A171" s="15"/>
      <c r="B171" s="15"/>
      <c r="C171" s="15"/>
      <c r="D171" s="15"/>
      <c r="E171" s="15"/>
      <c r="F171" s="15"/>
      <c r="G171" s="15"/>
      <c r="H171" s="15"/>
      <c r="I171" s="15"/>
      <c r="J171" s="15"/>
      <c r="K171" s="15"/>
      <c r="L171" s="15"/>
      <c r="M171" s="15"/>
      <c r="N171" s="15"/>
      <c r="O171" s="15"/>
      <c r="P171" s="15"/>
      <c r="Q171" s="15"/>
      <c r="R171" s="15"/>
      <c r="S171" s="15"/>
      <c r="T171" s="15"/>
      <c r="U171" s="15"/>
      <c r="V171" s="15"/>
    </row>
    <row r="172" spans="1:22">
      <c r="A172" s="15"/>
      <c r="B172" s="15"/>
      <c r="C172" s="15"/>
      <c r="D172" s="15"/>
      <c r="E172" s="15"/>
      <c r="F172" s="15"/>
      <c r="G172" s="15"/>
      <c r="H172" s="15"/>
      <c r="I172" s="15"/>
      <c r="J172" s="15"/>
      <c r="K172" s="15"/>
      <c r="L172" s="15"/>
      <c r="M172" s="15"/>
      <c r="N172" s="15"/>
      <c r="O172" s="15"/>
      <c r="P172" s="15"/>
      <c r="Q172" s="15"/>
      <c r="R172" s="15"/>
      <c r="S172" s="15"/>
      <c r="T172" s="15"/>
      <c r="U172" s="15"/>
      <c r="V172" s="15"/>
    </row>
    <row r="173" spans="1:22">
      <c r="A173" s="15"/>
      <c r="B173" s="15"/>
      <c r="C173" s="15"/>
      <c r="D173" s="15"/>
      <c r="E173" s="15"/>
      <c r="F173" s="15"/>
      <c r="G173" s="15"/>
      <c r="H173" s="15"/>
      <c r="I173" s="15"/>
      <c r="J173" s="15"/>
      <c r="K173" s="15"/>
      <c r="L173" s="15"/>
      <c r="M173" s="15"/>
      <c r="N173" s="15"/>
      <c r="O173" s="15"/>
      <c r="P173" s="15"/>
      <c r="Q173" s="15"/>
      <c r="R173" s="15"/>
      <c r="S173" s="15"/>
      <c r="T173" s="15"/>
      <c r="U173" s="15"/>
      <c r="V173" s="15"/>
    </row>
    <row r="174" spans="1:22">
      <c r="A174" s="15"/>
      <c r="B174" s="15"/>
      <c r="C174" s="15"/>
      <c r="D174" s="15"/>
      <c r="E174" s="15"/>
      <c r="F174" s="15"/>
      <c r="G174" s="15"/>
      <c r="H174" s="15"/>
      <c r="I174" s="15"/>
      <c r="J174" s="15"/>
      <c r="K174" s="15"/>
      <c r="L174" s="15"/>
      <c r="M174" s="15"/>
      <c r="N174" s="15"/>
      <c r="O174" s="15"/>
      <c r="P174" s="15"/>
      <c r="Q174" s="15"/>
      <c r="R174" s="15"/>
      <c r="S174" s="15"/>
      <c r="T174" s="15"/>
      <c r="U174" s="15"/>
      <c r="V174" s="15"/>
    </row>
    <row r="175" spans="1:22">
      <c r="A175" s="15"/>
      <c r="B175" s="15"/>
      <c r="C175" s="15"/>
      <c r="D175" s="15"/>
      <c r="E175" s="15"/>
      <c r="F175" s="15"/>
      <c r="G175" s="15"/>
      <c r="H175" s="15"/>
      <c r="I175" s="15"/>
      <c r="J175" s="15"/>
      <c r="K175" s="15"/>
      <c r="L175" s="15"/>
      <c r="M175" s="15"/>
      <c r="N175" s="15"/>
      <c r="O175" s="15"/>
      <c r="P175" s="15"/>
      <c r="Q175" s="15"/>
      <c r="R175" s="15"/>
      <c r="S175" s="15"/>
      <c r="T175" s="15"/>
      <c r="U175" s="15"/>
      <c r="V175" s="15"/>
    </row>
    <row r="176" spans="1:22">
      <c r="A176" s="15"/>
      <c r="B176" s="15"/>
      <c r="C176" s="15"/>
      <c r="D176" s="15"/>
      <c r="E176" s="15"/>
      <c r="F176" s="15"/>
      <c r="G176" s="15"/>
      <c r="H176" s="15"/>
      <c r="I176" s="15"/>
      <c r="J176" s="15"/>
      <c r="K176" s="15"/>
      <c r="L176" s="15"/>
      <c r="M176" s="15"/>
      <c r="N176" s="15"/>
      <c r="O176" s="15"/>
      <c r="P176" s="15"/>
      <c r="Q176" s="15"/>
      <c r="R176" s="15"/>
      <c r="S176" s="15"/>
      <c r="T176" s="15"/>
      <c r="U176" s="15"/>
      <c r="V176" s="15"/>
    </row>
    <row r="177" spans="1:22">
      <c r="A177" s="15"/>
      <c r="B177" s="15"/>
      <c r="C177" s="15"/>
      <c r="D177" s="15"/>
      <c r="E177" s="15"/>
      <c r="F177" s="15"/>
      <c r="G177" s="15"/>
      <c r="H177" s="15"/>
      <c r="I177" s="15"/>
      <c r="J177" s="15"/>
      <c r="K177" s="15"/>
      <c r="L177" s="15"/>
      <c r="M177" s="15"/>
      <c r="N177" s="15"/>
      <c r="O177" s="15"/>
      <c r="P177" s="15"/>
      <c r="Q177" s="15"/>
      <c r="R177" s="15"/>
      <c r="S177" s="15"/>
      <c r="T177" s="15"/>
      <c r="U177" s="15"/>
      <c r="V177" s="15"/>
    </row>
    <row r="178" spans="1:22">
      <c r="A178" s="15"/>
      <c r="B178" s="15"/>
      <c r="C178" s="15"/>
      <c r="D178" s="15"/>
      <c r="E178" s="15"/>
      <c r="F178" s="15"/>
      <c r="G178" s="15"/>
      <c r="H178" s="15"/>
      <c r="I178" s="15"/>
      <c r="J178" s="15"/>
      <c r="K178" s="15"/>
      <c r="L178" s="15"/>
      <c r="M178" s="15"/>
      <c r="N178" s="15"/>
      <c r="O178" s="15"/>
      <c r="P178" s="15"/>
      <c r="Q178" s="15"/>
      <c r="R178" s="15"/>
      <c r="S178" s="15"/>
      <c r="T178" s="15"/>
      <c r="U178" s="15"/>
      <c r="V178" s="15"/>
    </row>
    <row r="179" spans="1:22">
      <c r="A179" s="15"/>
      <c r="B179" s="15"/>
      <c r="C179" s="15"/>
      <c r="D179" s="15"/>
      <c r="E179" s="15"/>
      <c r="F179" s="15"/>
      <c r="G179" s="15"/>
      <c r="H179" s="15"/>
      <c r="I179" s="15"/>
      <c r="J179" s="15"/>
      <c r="K179" s="15"/>
      <c r="L179" s="15"/>
      <c r="M179" s="15"/>
      <c r="N179" s="15"/>
      <c r="O179" s="15"/>
      <c r="P179" s="15"/>
      <c r="Q179" s="15"/>
      <c r="R179" s="15"/>
      <c r="S179" s="15"/>
      <c r="T179" s="15"/>
      <c r="U179" s="15"/>
      <c r="V179" s="15"/>
    </row>
    <row r="180" spans="1:22">
      <c r="A180" s="15"/>
      <c r="B180" s="15"/>
      <c r="C180" s="15"/>
      <c r="D180" s="15"/>
      <c r="E180" s="15"/>
      <c r="F180" s="15"/>
      <c r="G180" s="15"/>
      <c r="H180" s="15"/>
      <c r="I180" s="15"/>
      <c r="J180" s="15"/>
      <c r="K180" s="15"/>
      <c r="L180" s="15"/>
      <c r="M180" s="15"/>
      <c r="N180" s="15"/>
      <c r="O180" s="15"/>
      <c r="P180" s="15"/>
      <c r="Q180" s="15"/>
      <c r="R180" s="15"/>
      <c r="S180" s="15"/>
      <c r="T180" s="15"/>
      <c r="U180" s="15"/>
      <c r="V180" s="15"/>
    </row>
    <row r="181" spans="1:22">
      <c r="A181" s="15"/>
      <c r="B181" s="15"/>
      <c r="C181" s="15"/>
      <c r="D181" s="15"/>
      <c r="E181" s="15"/>
      <c r="F181" s="15"/>
      <c r="G181" s="15"/>
      <c r="H181" s="15"/>
      <c r="I181" s="15"/>
      <c r="J181" s="15"/>
      <c r="K181" s="15"/>
      <c r="L181" s="15"/>
      <c r="M181" s="15"/>
      <c r="N181" s="15"/>
      <c r="O181" s="15"/>
      <c r="P181" s="15"/>
      <c r="Q181" s="15"/>
      <c r="R181" s="15"/>
      <c r="S181" s="15"/>
      <c r="T181" s="15"/>
      <c r="U181" s="15"/>
      <c r="V181" s="15"/>
    </row>
    <row r="182" spans="1:22">
      <c r="A182" s="15"/>
      <c r="B182" s="15"/>
      <c r="C182" s="15"/>
      <c r="D182" s="15"/>
      <c r="E182" s="15"/>
      <c r="F182" s="15"/>
      <c r="G182" s="15"/>
      <c r="H182" s="15"/>
      <c r="I182" s="15"/>
      <c r="J182" s="15"/>
      <c r="K182" s="15"/>
      <c r="L182" s="15"/>
      <c r="M182" s="15"/>
      <c r="N182" s="15"/>
      <c r="O182" s="15"/>
      <c r="P182" s="15"/>
      <c r="Q182" s="15"/>
      <c r="R182" s="15"/>
      <c r="S182" s="15"/>
      <c r="T182" s="15"/>
      <c r="U182" s="15"/>
      <c r="V182" s="15"/>
    </row>
    <row r="183" spans="1:22">
      <c r="A183" s="15"/>
      <c r="B183" s="15"/>
      <c r="C183" s="15"/>
      <c r="D183" s="15"/>
      <c r="E183" s="15"/>
      <c r="F183" s="15"/>
      <c r="G183" s="15"/>
      <c r="H183" s="15"/>
      <c r="I183" s="15"/>
      <c r="J183" s="15"/>
      <c r="K183" s="15"/>
      <c r="L183" s="15"/>
      <c r="M183" s="15"/>
      <c r="N183" s="15"/>
      <c r="O183" s="15"/>
      <c r="P183" s="15"/>
      <c r="Q183" s="15"/>
      <c r="R183" s="15"/>
      <c r="S183" s="15"/>
      <c r="T183" s="15"/>
      <c r="U183" s="15"/>
      <c r="V183" s="15"/>
    </row>
    <row r="184" spans="1:22">
      <c r="A184" s="15"/>
      <c r="B184" s="15"/>
      <c r="C184" s="15"/>
      <c r="D184" s="15"/>
      <c r="E184" s="15"/>
      <c r="F184" s="15"/>
      <c r="G184" s="15"/>
      <c r="H184" s="15"/>
      <c r="I184" s="15"/>
      <c r="J184" s="15"/>
      <c r="K184" s="15"/>
      <c r="L184" s="15"/>
      <c r="M184" s="15"/>
      <c r="N184" s="15"/>
      <c r="O184" s="15"/>
      <c r="P184" s="15"/>
      <c r="Q184" s="15"/>
      <c r="R184" s="15"/>
      <c r="S184" s="15"/>
      <c r="T184" s="15"/>
      <c r="U184" s="15"/>
      <c r="V184" s="15"/>
    </row>
    <row r="185" spans="1:22">
      <c r="A185" s="15"/>
      <c r="B185" s="15"/>
      <c r="C185" s="15"/>
      <c r="D185" s="15"/>
      <c r="E185" s="15"/>
      <c r="F185" s="15"/>
      <c r="G185" s="15"/>
      <c r="H185" s="15"/>
      <c r="I185" s="15"/>
      <c r="J185" s="15"/>
      <c r="K185" s="15"/>
      <c r="L185" s="15"/>
      <c r="M185" s="15"/>
      <c r="N185" s="15"/>
      <c r="O185" s="15"/>
      <c r="P185" s="15"/>
      <c r="Q185" s="15"/>
      <c r="R185" s="15"/>
      <c r="S185" s="15"/>
      <c r="T185" s="15"/>
      <c r="U185" s="15"/>
      <c r="V185" s="15"/>
    </row>
    <row r="186" spans="1:22">
      <c r="A186" s="15"/>
      <c r="B186" s="15"/>
      <c r="C186" s="15"/>
      <c r="D186" s="15"/>
      <c r="E186" s="15"/>
      <c r="F186" s="15"/>
      <c r="G186" s="15"/>
      <c r="H186" s="15"/>
      <c r="I186" s="15"/>
      <c r="J186" s="15"/>
      <c r="K186" s="15"/>
      <c r="L186" s="15"/>
      <c r="M186" s="15"/>
      <c r="N186" s="15"/>
      <c r="O186" s="15"/>
      <c r="P186" s="15"/>
      <c r="Q186" s="15"/>
      <c r="R186" s="15"/>
      <c r="S186" s="15"/>
      <c r="T186" s="15"/>
      <c r="U186" s="15"/>
      <c r="V186" s="15"/>
    </row>
    <row r="187" spans="1:22">
      <c r="A187" s="15"/>
      <c r="B187" s="15"/>
      <c r="C187" s="15"/>
      <c r="D187" s="15"/>
      <c r="E187" s="15"/>
      <c r="F187" s="15"/>
      <c r="G187" s="15"/>
      <c r="H187" s="15"/>
      <c r="I187" s="15"/>
      <c r="J187" s="15"/>
      <c r="K187" s="15"/>
      <c r="L187" s="15"/>
      <c r="M187" s="15"/>
      <c r="N187" s="15"/>
      <c r="O187" s="15"/>
      <c r="P187" s="15"/>
      <c r="Q187" s="15"/>
      <c r="R187" s="15"/>
      <c r="S187" s="15"/>
      <c r="T187" s="15"/>
      <c r="U187" s="15"/>
      <c r="V187" s="15"/>
    </row>
    <row r="188" spans="1:22">
      <c r="A188" s="15"/>
      <c r="B188" s="15"/>
      <c r="C188" s="15"/>
      <c r="D188" s="15"/>
      <c r="E188" s="15"/>
      <c r="F188" s="15"/>
      <c r="G188" s="15"/>
      <c r="H188" s="15"/>
      <c r="I188" s="15"/>
      <c r="J188" s="15"/>
      <c r="K188" s="15"/>
      <c r="L188" s="15"/>
      <c r="M188" s="15"/>
      <c r="N188" s="15"/>
      <c r="O188" s="15"/>
      <c r="P188" s="15"/>
      <c r="Q188" s="15"/>
      <c r="R188" s="15"/>
      <c r="S188" s="15"/>
      <c r="T188" s="15"/>
      <c r="U188" s="15"/>
      <c r="V188" s="15"/>
    </row>
    <row r="189" spans="1:22">
      <c r="A189" s="15"/>
      <c r="B189" s="15"/>
      <c r="C189" s="15"/>
      <c r="D189" s="15"/>
      <c r="E189" s="15"/>
      <c r="F189" s="15"/>
      <c r="G189" s="15"/>
      <c r="H189" s="15"/>
      <c r="I189" s="15"/>
      <c r="J189" s="15"/>
      <c r="K189" s="15"/>
      <c r="L189" s="15"/>
      <c r="M189" s="15"/>
      <c r="N189" s="15"/>
      <c r="O189" s="15"/>
      <c r="P189" s="15"/>
      <c r="Q189" s="15"/>
      <c r="R189" s="15"/>
      <c r="S189" s="15"/>
      <c r="T189" s="15"/>
      <c r="U189" s="15"/>
      <c r="V189" s="15"/>
    </row>
    <row r="190" spans="1:22">
      <c r="A190" s="15"/>
      <c r="B190" s="15"/>
      <c r="C190" s="15"/>
      <c r="D190" s="15"/>
      <c r="E190" s="15"/>
      <c r="F190" s="15"/>
      <c r="G190" s="15"/>
      <c r="H190" s="15"/>
      <c r="I190" s="15"/>
      <c r="J190" s="15"/>
      <c r="K190" s="15"/>
      <c r="L190" s="15"/>
      <c r="M190" s="15"/>
      <c r="N190" s="15"/>
      <c r="O190" s="15"/>
      <c r="P190" s="15"/>
      <c r="Q190" s="15"/>
      <c r="R190" s="15"/>
      <c r="S190" s="15"/>
      <c r="T190" s="15"/>
      <c r="U190" s="15"/>
      <c r="V190" s="15"/>
    </row>
    <row r="191" spans="1:22">
      <c r="A191" s="15"/>
      <c r="B191" s="15"/>
      <c r="C191" s="15"/>
      <c r="D191" s="15"/>
      <c r="E191" s="15"/>
      <c r="F191" s="15"/>
      <c r="G191" s="15"/>
      <c r="H191" s="15"/>
      <c r="I191" s="15"/>
      <c r="J191" s="15"/>
      <c r="K191" s="15"/>
      <c r="L191" s="15"/>
      <c r="M191" s="15"/>
      <c r="N191" s="15"/>
      <c r="O191" s="15"/>
      <c r="P191" s="15"/>
      <c r="Q191" s="15"/>
      <c r="R191" s="15"/>
      <c r="S191" s="15"/>
      <c r="T191" s="15"/>
      <c r="U191" s="15"/>
      <c r="V191" s="15"/>
    </row>
    <row r="192" spans="1:22">
      <c r="A192" s="15"/>
      <c r="B192" s="15"/>
      <c r="C192" s="15"/>
      <c r="D192" s="15"/>
      <c r="E192" s="15"/>
      <c r="F192" s="15"/>
      <c r="G192" s="15"/>
      <c r="H192" s="15"/>
      <c r="I192" s="15"/>
      <c r="J192" s="15"/>
      <c r="K192" s="15"/>
      <c r="L192" s="15"/>
      <c r="M192" s="15"/>
      <c r="N192" s="15"/>
      <c r="O192" s="15"/>
      <c r="P192" s="15"/>
      <c r="Q192" s="15"/>
      <c r="R192" s="15"/>
      <c r="S192" s="15"/>
      <c r="T192" s="15"/>
      <c r="U192" s="15"/>
      <c r="V192" s="15"/>
    </row>
    <row r="193" spans="1:22">
      <c r="A193" s="15"/>
      <c r="B193" s="15"/>
      <c r="C193" s="15"/>
      <c r="D193" s="15"/>
      <c r="E193" s="15"/>
      <c r="F193" s="15"/>
      <c r="G193" s="15"/>
      <c r="H193" s="15"/>
      <c r="I193" s="15"/>
      <c r="J193" s="15"/>
      <c r="K193" s="15"/>
      <c r="L193" s="15"/>
      <c r="M193" s="15"/>
      <c r="N193" s="15"/>
      <c r="O193" s="15"/>
      <c r="P193" s="15"/>
      <c r="Q193" s="15"/>
      <c r="R193" s="15"/>
      <c r="S193" s="15"/>
      <c r="T193" s="15"/>
      <c r="U193" s="15"/>
      <c r="V193" s="15"/>
    </row>
    <row r="194" spans="1:22">
      <c r="A194" s="15"/>
      <c r="B194" s="15"/>
      <c r="C194" s="15"/>
      <c r="D194" s="15"/>
      <c r="E194" s="15"/>
      <c r="F194" s="15"/>
      <c r="G194" s="15"/>
      <c r="H194" s="15"/>
      <c r="I194" s="15"/>
      <c r="J194" s="15"/>
      <c r="K194" s="15"/>
      <c r="L194" s="15"/>
      <c r="M194" s="15"/>
      <c r="N194" s="15"/>
      <c r="O194" s="15"/>
      <c r="P194" s="15"/>
      <c r="Q194" s="15"/>
      <c r="R194" s="15"/>
      <c r="S194" s="15"/>
      <c r="T194" s="15"/>
      <c r="U194" s="15"/>
      <c r="V194" s="15"/>
    </row>
    <row r="195" spans="1:22">
      <c r="A195" s="15"/>
      <c r="B195" s="15"/>
      <c r="C195" s="15"/>
      <c r="D195" s="15"/>
      <c r="E195" s="15"/>
      <c r="F195" s="15"/>
      <c r="G195" s="15"/>
      <c r="H195" s="15"/>
      <c r="I195" s="15"/>
      <c r="J195" s="15"/>
      <c r="K195" s="15"/>
      <c r="L195" s="15"/>
      <c r="M195" s="15"/>
      <c r="N195" s="15"/>
      <c r="O195" s="15"/>
      <c r="P195" s="15"/>
      <c r="Q195" s="15"/>
      <c r="R195" s="15"/>
      <c r="S195" s="15"/>
      <c r="T195" s="15"/>
      <c r="U195" s="15"/>
      <c r="V195" s="15"/>
    </row>
    <row r="196" spans="1:22">
      <c r="A196" s="15"/>
      <c r="B196" s="15"/>
      <c r="C196" s="15"/>
      <c r="D196" s="15"/>
      <c r="E196" s="15"/>
      <c r="F196" s="15"/>
      <c r="G196" s="15"/>
      <c r="H196" s="15"/>
      <c r="I196" s="15"/>
      <c r="J196" s="15"/>
      <c r="K196" s="15"/>
      <c r="L196" s="15"/>
      <c r="M196" s="15"/>
      <c r="N196" s="15"/>
      <c r="O196" s="15"/>
      <c r="P196" s="15"/>
      <c r="Q196" s="15"/>
      <c r="R196" s="15"/>
      <c r="S196" s="15"/>
      <c r="T196" s="15"/>
      <c r="U196" s="15"/>
      <c r="V196" s="15"/>
    </row>
    <row r="197" spans="1:22">
      <c r="A197" s="15"/>
      <c r="B197" s="15"/>
      <c r="C197" s="15"/>
      <c r="D197" s="15"/>
      <c r="E197" s="15"/>
      <c r="F197" s="15"/>
      <c r="G197" s="15"/>
      <c r="H197" s="15"/>
      <c r="I197" s="15"/>
      <c r="J197" s="15"/>
      <c r="K197" s="15"/>
      <c r="L197" s="15"/>
      <c r="M197" s="15"/>
      <c r="N197" s="15"/>
      <c r="O197" s="15"/>
      <c r="P197" s="15"/>
      <c r="Q197" s="15"/>
      <c r="R197" s="15"/>
      <c r="S197" s="15"/>
      <c r="T197" s="15"/>
      <c r="U197" s="15"/>
      <c r="V197" s="15"/>
    </row>
    <row r="198" spans="1:22">
      <c r="A198" s="15"/>
      <c r="B198" s="15"/>
      <c r="C198" s="15"/>
      <c r="D198" s="15"/>
      <c r="E198" s="15"/>
      <c r="F198" s="15"/>
      <c r="G198" s="15"/>
      <c r="H198" s="15"/>
      <c r="I198" s="15"/>
      <c r="J198" s="15"/>
      <c r="K198" s="15"/>
      <c r="L198" s="15"/>
      <c r="M198" s="15"/>
      <c r="N198" s="15"/>
      <c r="O198" s="15"/>
      <c r="P198" s="15"/>
      <c r="Q198" s="15"/>
      <c r="R198" s="15"/>
      <c r="S198" s="15"/>
      <c r="T198" s="15"/>
      <c r="U198" s="15"/>
      <c r="V198" s="15"/>
    </row>
    <row r="199" spans="1:22">
      <c r="A199" s="15"/>
      <c r="B199" s="15"/>
      <c r="C199" s="15"/>
      <c r="D199" s="15"/>
      <c r="E199" s="15"/>
      <c r="F199" s="15"/>
      <c r="G199" s="15"/>
      <c r="H199" s="15"/>
      <c r="I199" s="15"/>
      <c r="J199" s="15"/>
      <c r="K199" s="15"/>
      <c r="L199" s="15"/>
      <c r="M199" s="15"/>
      <c r="N199" s="15"/>
      <c r="O199" s="15"/>
      <c r="P199" s="15"/>
      <c r="Q199" s="15"/>
      <c r="R199" s="15"/>
      <c r="S199" s="15"/>
      <c r="T199" s="15"/>
      <c r="U199" s="15"/>
      <c r="V199" s="15"/>
    </row>
    <row r="200" spans="1:22">
      <c r="A200" s="15"/>
      <c r="B200" s="15"/>
      <c r="C200" s="15"/>
      <c r="D200" s="15"/>
      <c r="E200" s="15"/>
      <c r="F200" s="15"/>
      <c r="G200" s="15"/>
      <c r="H200" s="15"/>
      <c r="I200" s="15"/>
      <c r="J200" s="15"/>
      <c r="K200" s="15"/>
      <c r="L200" s="15"/>
      <c r="M200" s="15"/>
      <c r="N200" s="15"/>
      <c r="O200" s="15"/>
      <c r="P200" s="15"/>
      <c r="Q200" s="15"/>
      <c r="R200" s="15"/>
      <c r="S200" s="15"/>
      <c r="T200" s="15"/>
      <c r="U200" s="15"/>
      <c r="V200" s="15"/>
    </row>
    <row r="201" spans="1:22">
      <c r="A201" s="15"/>
      <c r="B201" s="15"/>
      <c r="C201" s="15"/>
      <c r="D201" s="15"/>
      <c r="E201" s="15"/>
      <c r="F201" s="15"/>
      <c r="G201" s="15"/>
      <c r="H201" s="15"/>
      <c r="I201" s="15"/>
      <c r="J201" s="15"/>
      <c r="K201" s="15"/>
      <c r="L201" s="15"/>
      <c r="M201" s="15"/>
      <c r="N201" s="15"/>
      <c r="O201" s="15"/>
      <c r="P201" s="15"/>
      <c r="Q201" s="15"/>
      <c r="R201" s="15"/>
      <c r="S201" s="15"/>
      <c r="T201" s="15"/>
      <c r="U201" s="15"/>
      <c r="V201" s="15"/>
    </row>
    <row r="202" spans="1:22">
      <c r="A202" s="15"/>
      <c r="B202" s="15"/>
      <c r="C202" s="15"/>
      <c r="D202" s="15"/>
      <c r="E202" s="15"/>
      <c r="F202" s="15"/>
      <c r="G202" s="15"/>
      <c r="H202" s="15"/>
      <c r="I202" s="15"/>
      <c r="J202" s="15"/>
      <c r="K202" s="15"/>
      <c r="L202" s="15"/>
      <c r="M202" s="15"/>
      <c r="N202" s="15"/>
      <c r="O202" s="15"/>
      <c r="P202" s="15"/>
      <c r="Q202" s="15"/>
      <c r="R202" s="15"/>
      <c r="S202" s="15"/>
      <c r="T202" s="15"/>
      <c r="U202" s="15"/>
      <c r="V202" s="15"/>
    </row>
    <row r="203" spans="1:22">
      <c r="A203" s="15"/>
      <c r="B203" s="15"/>
      <c r="C203" s="15"/>
      <c r="D203" s="15"/>
      <c r="E203" s="15"/>
      <c r="F203" s="15"/>
      <c r="G203" s="15"/>
      <c r="H203" s="15"/>
      <c r="I203" s="15"/>
      <c r="J203" s="15"/>
      <c r="K203" s="15"/>
      <c r="L203" s="15"/>
      <c r="M203" s="15"/>
      <c r="N203" s="15"/>
      <c r="O203" s="15"/>
      <c r="P203" s="15"/>
      <c r="Q203" s="15"/>
      <c r="R203" s="15"/>
      <c r="S203" s="15"/>
      <c r="T203" s="15"/>
      <c r="U203" s="15"/>
      <c r="V203" s="15"/>
    </row>
    <row r="204" spans="1:22">
      <c r="A204" s="15"/>
      <c r="B204" s="15"/>
      <c r="C204" s="15"/>
      <c r="D204" s="15"/>
      <c r="E204" s="15"/>
      <c r="F204" s="15"/>
      <c r="G204" s="15"/>
      <c r="H204" s="15"/>
      <c r="I204" s="15"/>
      <c r="J204" s="15"/>
      <c r="K204" s="15"/>
      <c r="L204" s="15"/>
      <c r="M204" s="15"/>
      <c r="N204" s="15"/>
      <c r="O204" s="15"/>
      <c r="P204" s="15"/>
      <c r="Q204" s="15"/>
      <c r="R204" s="15"/>
      <c r="S204" s="15"/>
      <c r="T204" s="15"/>
      <c r="U204" s="15"/>
      <c r="V204" s="15"/>
    </row>
    <row r="205" spans="1:22">
      <c r="A205" s="15"/>
      <c r="B205" s="15"/>
      <c r="C205" s="15"/>
      <c r="D205" s="15"/>
      <c r="E205" s="15"/>
      <c r="F205" s="15"/>
      <c r="G205" s="15"/>
      <c r="H205" s="15"/>
      <c r="I205" s="15"/>
      <c r="J205" s="15"/>
      <c r="K205" s="15"/>
      <c r="L205" s="15"/>
      <c r="M205" s="15"/>
      <c r="N205" s="15"/>
      <c r="O205" s="15"/>
      <c r="P205" s="15"/>
      <c r="Q205" s="15"/>
      <c r="R205" s="15"/>
      <c r="S205" s="15"/>
      <c r="T205" s="15"/>
      <c r="U205" s="15"/>
      <c r="V205" s="15"/>
    </row>
    <row r="206" spans="1:22">
      <c r="A206" s="15"/>
      <c r="B206" s="15"/>
      <c r="C206" s="15"/>
      <c r="D206" s="15"/>
      <c r="E206" s="15"/>
      <c r="F206" s="15"/>
      <c r="G206" s="15"/>
      <c r="H206" s="15"/>
      <c r="I206" s="15"/>
      <c r="J206" s="15"/>
      <c r="K206" s="15"/>
      <c r="L206" s="15"/>
      <c r="M206" s="15"/>
      <c r="N206" s="15"/>
      <c r="O206" s="15"/>
      <c r="P206" s="15"/>
      <c r="Q206" s="15"/>
      <c r="R206" s="15"/>
      <c r="S206" s="15"/>
      <c r="T206" s="15"/>
      <c r="U206" s="15"/>
      <c r="V206" s="15"/>
    </row>
    <row r="207" spans="1:22">
      <c r="A207" s="15"/>
      <c r="B207" s="15"/>
      <c r="C207" s="15"/>
      <c r="D207" s="15"/>
      <c r="E207" s="15"/>
      <c r="F207" s="15"/>
      <c r="G207" s="15"/>
      <c r="H207" s="15"/>
      <c r="I207" s="15"/>
      <c r="J207" s="15"/>
      <c r="K207" s="15"/>
      <c r="L207" s="15"/>
      <c r="M207" s="15"/>
      <c r="N207" s="15"/>
      <c r="O207" s="15"/>
      <c r="P207" s="15"/>
      <c r="Q207" s="15"/>
      <c r="R207" s="15"/>
      <c r="S207" s="15"/>
      <c r="T207" s="15"/>
      <c r="U207" s="15"/>
      <c r="V207" s="15"/>
    </row>
    <row r="208" spans="1:22">
      <c r="A208" s="15"/>
      <c r="B208" s="15"/>
      <c r="C208" s="15"/>
      <c r="D208" s="15"/>
      <c r="E208" s="15"/>
      <c r="F208" s="15"/>
      <c r="G208" s="15"/>
      <c r="H208" s="15"/>
      <c r="I208" s="15"/>
      <c r="J208" s="15"/>
      <c r="K208" s="15"/>
      <c r="L208" s="15"/>
      <c r="M208" s="15"/>
      <c r="N208" s="15"/>
      <c r="O208" s="15"/>
      <c r="P208" s="15"/>
      <c r="Q208" s="15"/>
      <c r="R208" s="15"/>
      <c r="S208" s="15"/>
      <c r="T208" s="15"/>
      <c r="U208" s="15"/>
      <c r="V208" s="15"/>
    </row>
    <row r="209" spans="1:22">
      <c r="A209" s="15"/>
      <c r="B209" s="15"/>
      <c r="C209" s="15"/>
      <c r="D209" s="15"/>
      <c r="E209" s="15"/>
      <c r="F209" s="15"/>
      <c r="G209" s="15"/>
      <c r="H209" s="15"/>
      <c r="I209" s="15"/>
      <c r="J209" s="15"/>
      <c r="K209" s="15"/>
      <c r="L209" s="15"/>
      <c r="M209" s="15"/>
      <c r="N209" s="15"/>
      <c r="O209" s="15"/>
      <c r="P209" s="15"/>
      <c r="Q209" s="15"/>
      <c r="R209" s="15"/>
      <c r="S209" s="15"/>
      <c r="T209" s="15"/>
      <c r="U209" s="15"/>
      <c r="V209" s="15"/>
    </row>
    <row r="210" spans="1:22">
      <c r="A210" s="15"/>
      <c r="B210" s="15"/>
      <c r="C210" s="15"/>
      <c r="D210" s="15"/>
      <c r="E210" s="15"/>
      <c r="F210" s="15"/>
      <c r="G210" s="15"/>
      <c r="H210" s="15"/>
      <c r="I210" s="15"/>
      <c r="J210" s="15"/>
      <c r="K210" s="15"/>
      <c r="L210" s="15"/>
      <c r="M210" s="15"/>
      <c r="N210" s="15"/>
      <c r="O210" s="15"/>
      <c r="P210" s="15"/>
      <c r="Q210" s="15"/>
      <c r="R210" s="15"/>
      <c r="S210" s="15"/>
      <c r="T210" s="15"/>
      <c r="U210" s="15"/>
      <c r="V210" s="15"/>
    </row>
    <row r="211" spans="1:22">
      <c r="A211" s="15"/>
      <c r="B211" s="15"/>
      <c r="C211" s="15"/>
      <c r="D211" s="15"/>
      <c r="E211" s="15"/>
      <c r="F211" s="15"/>
      <c r="G211" s="15"/>
      <c r="H211" s="15"/>
      <c r="I211" s="15"/>
      <c r="J211" s="15"/>
      <c r="K211" s="15"/>
      <c r="L211" s="15"/>
      <c r="M211" s="15"/>
      <c r="N211" s="15"/>
      <c r="O211" s="15"/>
      <c r="P211" s="15"/>
      <c r="Q211" s="15"/>
      <c r="R211" s="15"/>
      <c r="S211" s="15"/>
      <c r="T211" s="15"/>
      <c r="U211" s="15"/>
      <c r="V211" s="15"/>
    </row>
    <row r="212" spans="1:22">
      <c r="A212" s="15"/>
      <c r="B212" s="15"/>
      <c r="C212" s="15"/>
      <c r="D212" s="15"/>
      <c r="E212" s="15"/>
      <c r="F212" s="15"/>
      <c r="G212" s="15"/>
      <c r="H212" s="15"/>
      <c r="I212" s="15"/>
      <c r="J212" s="15"/>
      <c r="K212" s="15"/>
      <c r="L212" s="15"/>
      <c r="M212" s="15"/>
      <c r="N212" s="15"/>
      <c r="O212" s="15"/>
      <c r="P212" s="15"/>
      <c r="Q212" s="15"/>
      <c r="R212" s="15"/>
      <c r="S212" s="15"/>
      <c r="T212" s="15"/>
      <c r="U212" s="15"/>
      <c r="V212" s="15"/>
    </row>
    <row r="213" spans="1:22">
      <c r="A213" s="15"/>
      <c r="B213" s="15"/>
      <c r="C213" s="15"/>
      <c r="D213" s="15"/>
      <c r="E213" s="15"/>
      <c r="F213" s="15"/>
      <c r="G213" s="15"/>
      <c r="H213" s="15"/>
      <c r="I213" s="15"/>
      <c r="J213" s="15"/>
      <c r="K213" s="15"/>
      <c r="L213" s="15"/>
      <c r="M213" s="15"/>
      <c r="N213" s="15"/>
      <c r="O213" s="15"/>
      <c r="P213" s="15"/>
      <c r="Q213" s="15"/>
      <c r="R213" s="15"/>
      <c r="S213" s="15"/>
      <c r="T213" s="15"/>
      <c r="U213" s="15"/>
      <c r="V213" s="15"/>
    </row>
    <row r="214" spans="1:22">
      <c r="A214" s="15"/>
      <c r="B214" s="15"/>
      <c r="C214" s="15"/>
      <c r="D214" s="15"/>
      <c r="E214" s="15"/>
      <c r="F214" s="15"/>
      <c r="G214" s="15"/>
      <c r="H214" s="15"/>
      <c r="I214" s="15"/>
      <c r="J214" s="15"/>
      <c r="K214" s="15"/>
      <c r="L214" s="15"/>
      <c r="M214" s="15"/>
      <c r="N214" s="15"/>
      <c r="O214" s="15"/>
      <c r="P214" s="15"/>
      <c r="Q214" s="15"/>
      <c r="R214" s="15"/>
      <c r="S214" s="15"/>
      <c r="T214" s="15"/>
      <c r="U214" s="15"/>
      <c r="V214" s="15"/>
    </row>
    <row r="215" spans="1:22">
      <c r="A215" s="15"/>
      <c r="B215" s="15"/>
      <c r="C215" s="15"/>
      <c r="D215" s="15"/>
      <c r="E215" s="15"/>
      <c r="F215" s="15"/>
      <c r="G215" s="15"/>
      <c r="H215" s="15"/>
      <c r="I215" s="15"/>
      <c r="J215" s="15"/>
      <c r="K215" s="15"/>
      <c r="L215" s="15"/>
      <c r="M215" s="15"/>
      <c r="N215" s="15"/>
      <c r="O215" s="15"/>
      <c r="P215" s="15"/>
      <c r="Q215" s="15"/>
      <c r="R215" s="15"/>
      <c r="S215" s="15"/>
      <c r="T215" s="15"/>
      <c r="U215" s="15"/>
      <c r="V215" s="15"/>
    </row>
    <row r="216" spans="1:22">
      <c r="A216" s="15"/>
      <c r="B216" s="15"/>
      <c r="C216" s="15"/>
      <c r="D216" s="15"/>
      <c r="E216" s="15"/>
      <c r="F216" s="15"/>
      <c r="G216" s="15"/>
      <c r="H216" s="15"/>
      <c r="I216" s="15"/>
      <c r="J216" s="15"/>
      <c r="K216" s="15"/>
      <c r="L216" s="15"/>
      <c r="M216" s="15"/>
      <c r="N216" s="15"/>
      <c r="O216" s="15"/>
      <c r="P216" s="15"/>
      <c r="Q216" s="15"/>
      <c r="R216" s="15"/>
      <c r="S216" s="15"/>
      <c r="T216" s="15"/>
      <c r="U216" s="15"/>
      <c r="V216" s="15"/>
    </row>
    <row r="217" spans="1:22">
      <c r="A217" s="15"/>
      <c r="B217" s="15"/>
      <c r="C217" s="15"/>
      <c r="D217" s="15"/>
      <c r="E217" s="15"/>
      <c r="F217" s="15"/>
      <c r="G217" s="15"/>
      <c r="H217" s="15"/>
      <c r="I217" s="15"/>
      <c r="J217" s="15"/>
      <c r="K217" s="15"/>
      <c r="L217" s="15"/>
      <c r="M217" s="15"/>
      <c r="N217" s="15"/>
      <c r="O217" s="15"/>
      <c r="P217" s="15"/>
      <c r="Q217" s="15"/>
      <c r="R217" s="15"/>
      <c r="S217" s="15"/>
      <c r="T217" s="15"/>
      <c r="U217" s="15"/>
      <c r="V217" s="15"/>
    </row>
    <row r="218" spans="1:22">
      <c r="A218" s="15"/>
      <c r="B218" s="15"/>
      <c r="C218" s="15"/>
      <c r="D218" s="15"/>
      <c r="E218" s="15"/>
      <c r="F218" s="15"/>
      <c r="G218" s="15"/>
      <c r="H218" s="15"/>
      <c r="I218" s="15"/>
      <c r="J218" s="15"/>
      <c r="K218" s="15"/>
      <c r="L218" s="15"/>
      <c r="M218" s="15"/>
      <c r="N218" s="15"/>
      <c r="O218" s="15"/>
      <c r="P218" s="15"/>
      <c r="Q218" s="15"/>
      <c r="R218" s="15"/>
      <c r="S218" s="15"/>
      <c r="T218" s="15"/>
      <c r="U218" s="15"/>
      <c r="V218" s="15"/>
    </row>
    <row r="219" spans="1:22">
      <c r="A219" s="15"/>
      <c r="B219" s="15"/>
      <c r="C219" s="15"/>
      <c r="D219" s="15"/>
      <c r="E219" s="15"/>
      <c r="F219" s="15"/>
      <c r="G219" s="15"/>
      <c r="H219" s="15"/>
      <c r="I219" s="15"/>
      <c r="J219" s="15"/>
      <c r="K219" s="15"/>
      <c r="L219" s="15"/>
      <c r="M219" s="15"/>
      <c r="N219" s="15"/>
      <c r="O219" s="15"/>
      <c r="P219" s="15"/>
      <c r="Q219" s="15"/>
      <c r="R219" s="15"/>
      <c r="S219" s="15"/>
      <c r="T219" s="15"/>
      <c r="U219" s="15"/>
      <c r="V219" s="15"/>
    </row>
    <row r="220" spans="1:22">
      <c r="A220" s="15"/>
      <c r="B220" s="15"/>
      <c r="C220" s="15"/>
      <c r="D220" s="15"/>
      <c r="E220" s="15"/>
      <c r="F220" s="15"/>
      <c r="G220" s="15"/>
      <c r="H220" s="15"/>
      <c r="I220" s="15"/>
      <c r="J220" s="15"/>
      <c r="K220" s="15"/>
      <c r="L220" s="15"/>
      <c r="M220" s="15"/>
      <c r="N220" s="15"/>
      <c r="O220" s="15"/>
      <c r="P220" s="15"/>
      <c r="Q220" s="15"/>
      <c r="R220" s="15"/>
      <c r="S220" s="15"/>
      <c r="T220" s="15"/>
      <c r="U220" s="15"/>
      <c r="V220" s="15"/>
    </row>
    <row r="221" spans="1:22">
      <c r="A221" s="15"/>
      <c r="B221" s="15"/>
      <c r="C221" s="15"/>
      <c r="D221" s="15"/>
      <c r="E221" s="15"/>
      <c r="F221" s="15"/>
      <c r="G221" s="15"/>
      <c r="H221" s="15"/>
      <c r="I221" s="15"/>
      <c r="J221" s="15"/>
      <c r="K221" s="15"/>
      <c r="L221" s="15"/>
      <c r="M221" s="15"/>
      <c r="N221" s="15"/>
      <c r="O221" s="15"/>
      <c r="P221" s="15"/>
      <c r="Q221" s="15"/>
      <c r="R221" s="15"/>
      <c r="S221" s="15"/>
      <c r="T221" s="15"/>
      <c r="U221" s="15"/>
      <c r="V221" s="15"/>
    </row>
    <row r="222" spans="1:22">
      <c r="A222" s="15"/>
      <c r="B222" s="15"/>
      <c r="C222" s="15"/>
      <c r="D222" s="15"/>
      <c r="E222" s="15"/>
      <c r="F222" s="15"/>
      <c r="G222" s="15"/>
      <c r="H222" s="15"/>
      <c r="I222" s="15"/>
      <c r="J222" s="15"/>
      <c r="K222" s="15"/>
      <c r="L222" s="15"/>
      <c r="M222" s="15"/>
      <c r="N222" s="15"/>
      <c r="O222" s="15"/>
      <c r="P222" s="15"/>
      <c r="Q222" s="15"/>
      <c r="R222" s="15"/>
      <c r="S222" s="15"/>
      <c r="T222" s="15"/>
      <c r="U222" s="15"/>
      <c r="V222" s="15"/>
    </row>
    <row r="223" spans="1:22">
      <c r="A223" s="15"/>
      <c r="B223" s="15"/>
      <c r="C223" s="15"/>
      <c r="D223" s="15"/>
      <c r="E223" s="15"/>
      <c r="F223" s="15"/>
      <c r="G223" s="15"/>
      <c r="H223" s="15"/>
      <c r="I223" s="15"/>
      <c r="J223" s="15"/>
      <c r="K223" s="15"/>
      <c r="L223" s="15"/>
      <c r="M223" s="15"/>
      <c r="N223" s="15"/>
      <c r="O223" s="15"/>
      <c r="P223" s="15"/>
      <c r="Q223" s="15"/>
      <c r="R223" s="15"/>
      <c r="S223" s="15"/>
      <c r="T223" s="15"/>
      <c r="U223" s="15"/>
      <c r="V223" s="15"/>
    </row>
    <row r="224" spans="1:22">
      <c r="A224" s="15"/>
      <c r="B224" s="15"/>
      <c r="C224" s="15"/>
      <c r="D224" s="15"/>
      <c r="E224" s="15"/>
      <c r="F224" s="15"/>
      <c r="G224" s="15"/>
      <c r="H224" s="15"/>
      <c r="I224" s="15"/>
      <c r="J224" s="15"/>
      <c r="K224" s="15"/>
      <c r="L224" s="15"/>
      <c r="M224" s="15"/>
      <c r="N224" s="15"/>
      <c r="O224" s="15"/>
      <c r="P224" s="15"/>
      <c r="Q224" s="15"/>
      <c r="R224" s="15"/>
      <c r="S224" s="15"/>
      <c r="T224" s="15"/>
      <c r="U224" s="15"/>
      <c r="V224" s="15"/>
    </row>
    <row r="225" spans="1:22">
      <c r="A225" s="15"/>
      <c r="B225" s="15"/>
      <c r="C225" s="15"/>
      <c r="D225" s="15"/>
      <c r="E225" s="15"/>
      <c r="F225" s="15"/>
      <c r="G225" s="15"/>
      <c r="H225" s="15"/>
      <c r="I225" s="15"/>
      <c r="J225" s="15"/>
      <c r="K225" s="15"/>
      <c r="L225" s="15"/>
      <c r="M225" s="15"/>
      <c r="N225" s="15"/>
      <c r="O225" s="15"/>
      <c r="P225" s="15"/>
      <c r="Q225" s="15"/>
      <c r="R225" s="15"/>
      <c r="S225" s="15"/>
      <c r="T225" s="15"/>
      <c r="U225" s="15"/>
      <c r="V225" s="15"/>
    </row>
    <row r="226" spans="1:22">
      <c r="A226" s="15"/>
      <c r="B226" s="15"/>
      <c r="C226" s="15"/>
      <c r="D226" s="15"/>
      <c r="E226" s="15"/>
      <c r="F226" s="15"/>
      <c r="G226" s="15"/>
      <c r="H226" s="15"/>
      <c r="I226" s="15"/>
      <c r="J226" s="15"/>
      <c r="K226" s="15"/>
      <c r="L226" s="15"/>
      <c r="M226" s="15"/>
      <c r="N226" s="15"/>
      <c r="O226" s="15"/>
      <c r="P226" s="15"/>
      <c r="Q226" s="15"/>
      <c r="R226" s="15"/>
      <c r="S226" s="15"/>
      <c r="T226" s="15"/>
      <c r="U226" s="15"/>
      <c r="V226" s="15"/>
    </row>
    <row r="227" spans="1:22">
      <c r="A227" s="15"/>
      <c r="B227" s="15"/>
      <c r="C227" s="15"/>
      <c r="D227" s="15"/>
      <c r="E227" s="15"/>
      <c r="F227" s="15"/>
      <c r="G227" s="15"/>
      <c r="H227" s="15"/>
      <c r="I227" s="15"/>
      <c r="J227" s="15"/>
      <c r="K227" s="15"/>
      <c r="L227" s="15"/>
      <c r="M227" s="15"/>
      <c r="N227" s="15"/>
      <c r="O227" s="15"/>
      <c r="P227" s="15"/>
      <c r="Q227" s="15"/>
      <c r="R227" s="15"/>
      <c r="S227" s="15"/>
      <c r="T227" s="15"/>
      <c r="U227" s="15"/>
      <c r="V227" s="15"/>
    </row>
    <row r="228" spans="1:22">
      <c r="A228" s="15"/>
      <c r="B228" s="15"/>
      <c r="C228" s="15"/>
      <c r="D228" s="15"/>
      <c r="E228" s="15"/>
      <c r="F228" s="15"/>
      <c r="G228" s="15"/>
      <c r="H228" s="15"/>
      <c r="I228" s="15"/>
      <c r="J228" s="15"/>
      <c r="K228" s="15"/>
      <c r="L228" s="15"/>
      <c r="M228" s="15"/>
      <c r="N228" s="15"/>
      <c r="O228" s="15"/>
      <c r="P228" s="15"/>
      <c r="Q228" s="15"/>
      <c r="R228" s="15"/>
      <c r="S228" s="15"/>
      <c r="T228" s="15"/>
      <c r="U228" s="15"/>
      <c r="V228" s="15"/>
    </row>
    <row r="229" spans="1:22">
      <c r="A229" s="15"/>
      <c r="B229" s="15"/>
      <c r="C229" s="15"/>
      <c r="D229" s="15"/>
      <c r="E229" s="15"/>
      <c r="F229" s="15"/>
      <c r="G229" s="15"/>
      <c r="H229" s="15"/>
      <c r="I229" s="15"/>
      <c r="J229" s="15"/>
      <c r="K229" s="15"/>
      <c r="L229" s="15"/>
      <c r="M229" s="15"/>
      <c r="N229" s="15"/>
      <c r="O229" s="15"/>
      <c r="P229" s="15"/>
      <c r="Q229" s="15"/>
      <c r="R229" s="15"/>
      <c r="S229" s="15"/>
      <c r="T229" s="15"/>
      <c r="U229" s="15"/>
      <c r="V229" s="15"/>
    </row>
    <row r="230" spans="1:22">
      <c r="A230" s="15"/>
      <c r="B230" s="15"/>
      <c r="C230" s="15"/>
      <c r="D230" s="15"/>
      <c r="E230" s="15"/>
      <c r="F230" s="15"/>
      <c r="G230" s="15"/>
      <c r="H230" s="15"/>
      <c r="I230" s="15"/>
      <c r="J230" s="15"/>
      <c r="K230" s="15"/>
      <c r="L230" s="15"/>
      <c r="M230" s="15"/>
      <c r="N230" s="15"/>
      <c r="O230" s="15"/>
      <c r="P230" s="15"/>
      <c r="Q230" s="15"/>
      <c r="R230" s="15"/>
      <c r="S230" s="15"/>
      <c r="T230" s="15"/>
      <c r="U230" s="15"/>
      <c r="V230" s="15"/>
    </row>
    <row r="231" spans="1:22">
      <c r="A231" s="15"/>
      <c r="B231" s="15"/>
      <c r="C231" s="15"/>
      <c r="D231" s="15"/>
      <c r="E231" s="15"/>
      <c r="F231" s="15"/>
      <c r="G231" s="15"/>
      <c r="H231" s="15"/>
      <c r="I231" s="15"/>
      <c r="J231" s="15"/>
      <c r="K231" s="15"/>
      <c r="L231" s="15"/>
      <c r="M231" s="15"/>
      <c r="N231" s="15"/>
      <c r="O231" s="15"/>
      <c r="P231" s="15"/>
      <c r="Q231" s="15"/>
      <c r="R231" s="15"/>
      <c r="S231" s="15"/>
      <c r="T231" s="15"/>
      <c r="U231" s="15"/>
      <c r="V231" s="15"/>
    </row>
    <row r="232" spans="1:22">
      <c r="A232" s="15"/>
      <c r="B232" s="15"/>
      <c r="C232" s="15"/>
      <c r="D232" s="15"/>
      <c r="E232" s="15"/>
      <c r="F232" s="15"/>
      <c r="G232" s="15"/>
      <c r="H232" s="15"/>
      <c r="I232" s="15"/>
      <c r="J232" s="15"/>
      <c r="K232" s="15"/>
      <c r="L232" s="15"/>
      <c r="M232" s="15"/>
      <c r="N232" s="15"/>
      <c r="O232" s="15"/>
      <c r="P232" s="15"/>
      <c r="Q232" s="15"/>
      <c r="R232" s="15"/>
      <c r="S232" s="15"/>
      <c r="T232" s="15"/>
      <c r="U232" s="15"/>
      <c r="V232" s="15"/>
    </row>
    <row r="233" spans="1:22">
      <c r="A233" s="15"/>
      <c r="B233" s="15"/>
      <c r="C233" s="15"/>
      <c r="D233" s="15"/>
      <c r="E233" s="15"/>
      <c r="F233" s="15"/>
      <c r="G233" s="15"/>
      <c r="H233" s="15"/>
      <c r="I233" s="15"/>
      <c r="J233" s="15"/>
      <c r="K233" s="15"/>
      <c r="L233" s="15"/>
      <c r="M233" s="15"/>
      <c r="N233" s="15"/>
      <c r="O233" s="15"/>
      <c r="P233" s="15"/>
      <c r="Q233" s="15"/>
      <c r="R233" s="15"/>
      <c r="S233" s="15"/>
      <c r="T233" s="15"/>
      <c r="U233" s="15"/>
      <c r="V233" s="15"/>
    </row>
    <row r="234" spans="1:22">
      <c r="A234" s="15"/>
      <c r="B234" s="15"/>
      <c r="C234" s="15"/>
      <c r="D234" s="15"/>
      <c r="E234" s="15"/>
      <c r="F234" s="15"/>
      <c r="G234" s="15"/>
      <c r="H234" s="15"/>
      <c r="I234" s="15"/>
      <c r="J234" s="15"/>
      <c r="K234" s="15"/>
      <c r="L234" s="15"/>
      <c r="M234" s="15"/>
      <c r="N234" s="15"/>
      <c r="O234" s="15"/>
      <c r="P234" s="15"/>
      <c r="Q234" s="15"/>
      <c r="R234" s="15"/>
      <c r="S234" s="15"/>
      <c r="T234" s="15"/>
      <c r="U234" s="15"/>
      <c r="V234" s="15"/>
    </row>
    <row r="235" spans="1:22">
      <c r="A235" s="15"/>
      <c r="B235" s="15"/>
      <c r="C235" s="15"/>
      <c r="D235" s="15"/>
      <c r="E235" s="15"/>
      <c r="F235" s="15"/>
      <c r="G235" s="15"/>
      <c r="H235" s="15"/>
      <c r="I235" s="15"/>
      <c r="J235" s="15"/>
      <c r="K235" s="15"/>
      <c r="L235" s="15"/>
      <c r="M235" s="15"/>
      <c r="N235" s="15"/>
      <c r="O235" s="15"/>
      <c r="P235" s="15"/>
      <c r="Q235" s="15"/>
      <c r="R235" s="15"/>
      <c r="S235" s="15"/>
      <c r="T235" s="15"/>
      <c r="U235" s="15"/>
      <c r="V235" s="15"/>
    </row>
    <row r="236" spans="1:22">
      <c r="A236" s="15"/>
      <c r="B236" s="15"/>
      <c r="C236" s="15"/>
      <c r="D236" s="15"/>
      <c r="E236" s="15"/>
      <c r="F236" s="15"/>
      <c r="G236" s="15"/>
      <c r="H236" s="15"/>
      <c r="I236" s="15"/>
      <c r="J236" s="15"/>
      <c r="K236" s="15"/>
      <c r="L236" s="15"/>
      <c r="M236" s="15"/>
      <c r="N236" s="15"/>
      <c r="O236" s="15"/>
      <c r="P236" s="15"/>
      <c r="Q236" s="15"/>
      <c r="R236" s="15"/>
      <c r="S236" s="15"/>
      <c r="T236" s="15"/>
      <c r="U236" s="15"/>
      <c r="V236" s="15"/>
    </row>
    <row r="237" spans="1:22">
      <c r="A237" s="15"/>
      <c r="B237" s="15"/>
      <c r="C237" s="15"/>
      <c r="D237" s="15"/>
      <c r="E237" s="15"/>
      <c r="F237" s="15"/>
      <c r="G237" s="15"/>
      <c r="H237" s="15"/>
      <c r="I237" s="15"/>
      <c r="J237" s="15"/>
      <c r="K237" s="15"/>
      <c r="L237" s="15"/>
      <c r="M237" s="15"/>
      <c r="N237" s="15"/>
      <c r="O237" s="15"/>
      <c r="P237" s="15"/>
      <c r="Q237" s="15"/>
      <c r="R237" s="15"/>
      <c r="S237" s="15"/>
      <c r="T237" s="15"/>
      <c r="U237" s="15"/>
      <c r="V237" s="15"/>
    </row>
    <row r="238" spans="1:22">
      <c r="A238" s="15"/>
      <c r="B238" s="15"/>
      <c r="C238" s="15"/>
      <c r="D238" s="15"/>
      <c r="E238" s="15"/>
      <c r="F238" s="15"/>
      <c r="G238" s="15"/>
      <c r="H238" s="15"/>
      <c r="I238" s="15"/>
      <c r="J238" s="15"/>
      <c r="K238" s="15"/>
      <c r="L238" s="15"/>
      <c r="M238" s="15"/>
      <c r="N238" s="15"/>
      <c r="O238" s="15"/>
      <c r="P238" s="15"/>
      <c r="Q238" s="15"/>
      <c r="R238" s="15"/>
      <c r="S238" s="15"/>
      <c r="T238" s="15"/>
      <c r="U238" s="15"/>
      <c r="V238" s="15"/>
    </row>
    <row r="239" spans="1:22">
      <c r="A239" s="15"/>
      <c r="B239" s="15"/>
      <c r="C239" s="15"/>
      <c r="D239" s="15"/>
      <c r="E239" s="15"/>
      <c r="F239" s="15"/>
      <c r="G239" s="15"/>
      <c r="H239" s="15"/>
      <c r="I239" s="15"/>
      <c r="J239" s="15"/>
      <c r="K239" s="15"/>
      <c r="L239" s="15"/>
      <c r="M239" s="15"/>
      <c r="N239" s="15"/>
      <c r="O239" s="15"/>
      <c r="P239" s="15"/>
      <c r="Q239" s="15"/>
      <c r="R239" s="15"/>
      <c r="S239" s="15"/>
      <c r="T239" s="15"/>
      <c r="U239" s="15"/>
      <c r="V239" s="15"/>
    </row>
    <row r="240" spans="1:22">
      <c r="A240" s="15"/>
      <c r="B240" s="15"/>
      <c r="C240" s="15"/>
      <c r="D240" s="15"/>
      <c r="E240" s="15"/>
      <c r="F240" s="15"/>
      <c r="G240" s="15"/>
      <c r="H240" s="15"/>
      <c r="I240" s="15"/>
      <c r="J240" s="15"/>
      <c r="K240" s="15"/>
      <c r="L240" s="15"/>
      <c r="M240" s="15"/>
      <c r="N240" s="15"/>
      <c r="O240" s="15"/>
      <c r="P240" s="15"/>
      <c r="Q240" s="15"/>
      <c r="R240" s="15"/>
      <c r="S240" s="15"/>
      <c r="T240" s="15"/>
      <c r="U240" s="15"/>
      <c r="V240" s="15"/>
    </row>
    <row r="241" spans="1:22">
      <c r="A241" s="15"/>
      <c r="B241" s="15"/>
      <c r="C241" s="15"/>
      <c r="D241" s="15"/>
      <c r="E241" s="15"/>
      <c r="F241" s="15"/>
      <c r="G241" s="15"/>
      <c r="H241" s="15"/>
      <c r="I241" s="15"/>
      <c r="J241" s="15"/>
      <c r="K241" s="15"/>
      <c r="L241" s="15"/>
      <c r="M241" s="15"/>
      <c r="N241" s="15"/>
      <c r="O241" s="15"/>
      <c r="P241" s="15"/>
      <c r="Q241" s="15"/>
      <c r="R241" s="15"/>
      <c r="S241" s="15"/>
      <c r="T241" s="15"/>
      <c r="U241" s="15"/>
      <c r="V241" s="15"/>
    </row>
    <row r="242" spans="1:22">
      <c r="A242" s="15"/>
      <c r="B242" s="15"/>
      <c r="C242" s="15"/>
      <c r="D242" s="15"/>
      <c r="E242" s="15"/>
      <c r="F242" s="15"/>
      <c r="G242" s="15"/>
      <c r="H242" s="15"/>
      <c r="I242" s="15"/>
      <c r="J242" s="15"/>
      <c r="K242" s="15"/>
      <c r="L242" s="15"/>
      <c r="M242" s="15"/>
      <c r="N242" s="15"/>
      <c r="O242" s="15"/>
      <c r="P242" s="15"/>
      <c r="Q242" s="15"/>
      <c r="R242" s="15"/>
      <c r="S242" s="15"/>
      <c r="T242" s="15"/>
      <c r="U242" s="15"/>
      <c r="V242" s="15"/>
    </row>
    <row r="243" spans="1:22">
      <c r="A243" s="15"/>
      <c r="B243" s="15"/>
      <c r="C243" s="15"/>
      <c r="D243" s="15"/>
      <c r="E243" s="15"/>
      <c r="F243" s="15"/>
      <c r="G243" s="15"/>
      <c r="H243" s="15"/>
      <c r="I243" s="15"/>
      <c r="J243" s="15"/>
      <c r="K243" s="15"/>
      <c r="L243" s="15"/>
      <c r="M243" s="15"/>
      <c r="N243" s="15"/>
      <c r="O243" s="15"/>
      <c r="P243" s="15"/>
      <c r="Q243" s="15"/>
      <c r="R243" s="15"/>
      <c r="S243" s="15"/>
      <c r="T243" s="15"/>
      <c r="U243" s="15"/>
      <c r="V243" s="15"/>
    </row>
    <row r="244" spans="1:22">
      <c r="A244" s="15"/>
      <c r="B244" s="15"/>
      <c r="C244" s="15"/>
      <c r="D244" s="15"/>
      <c r="E244" s="15"/>
      <c r="F244" s="15"/>
      <c r="G244" s="15"/>
      <c r="H244" s="15"/>
      <c r="I244" s="15"/>
      <c r="J244" s="15"/>
      <c r="K244" s="15"/>
      <c r="L244" s="15"/>
      <c r="M244" s="15"/>
      <c r="N244" s="15"/>
      <c r="O244" s="15"/>
      <c r="P244" s="15"/>
      <c r="Q244" s="15"/>
      <c r="R244" s="15"/>
      <c r="S244" s="15"/>
      <c r="T244" s="15"/>
      <c r="U244" s="15"/>
      <c r="V244" s="15"/>
    </row>
    <row r="245" spans="1:22">
      <c r="A245" s="15"/>
      <c r="B245" s="15"/>
      <c r="C245" s="15"/>
      <c r="D245" s="15"/>
      <c r="E245" s="15"/>
      <c r="F245" s="15"/>
      <c r="G245" s="15"/>
      <c r="H245" s="15"/>
      <c r="I245" s="15"/>
      <c r="J245" s="15"/>
      <c r="K245" s="15"/>
      <c r="L245" s="15"/>
      <c r="M245" s="15"/>
      <c r="N245" s="15"/>
      <c r="O245" s="15"/>
      <c r="P245" s="15"/>
      <c r="Q245" s="15"/>
      <c r="R245" s="15"/>
      <c r="S245" s="15"/>
      <c r="T245" s="15"/>
      <c r="U245" s="15"/>
      <c r="V245" s="15"/>
    </row>
    <row r="246" spans="1:22">
      <c r="A246" s="15"/>
      <c r="B246" s="15"/>
      <c r="C246" s="15"/>
      <c r="D246" s="15"/>
      <c r="E246" s="15"/>
      <c r="F246" s="15"/>
      <c r="G246" s="15"/>
      <c r="H246" s="15"/>
      <c r="I246" s="15"/>
      <c r="J246" s="15"/>
      <c r="K246" s="15"/>
      <c r="L246" s="15"/>
      <c r="M246" s="15"/>
      <c r="N246" s="15"/>
      <c r="O246" s="15"/>
      <c r="P246" s="15"/>
      <c r="Q246" s="15"/>
      <c r="R246" s="15"/>
      <c r="S246" s="15"/>
      <c r="T246" s="15"/>
      <c r="U246" s="15"/>
      <c r="V246" s="15"/>
    </row>
    <row r="247" spans="1:22">
      <c r="A247" s="15"/>
      <c r="B247" s="15"/>
      <c r="C247" s="15"/>
      <c r="D247" s="15"/>
      <c r="E247" s="15"/>
      <c r="F247" s="15"/>
      <c r="G247" s="15"/>
      <c r="H247" s="15"/>
      <c r="I247" s="15"/>
      <c r="J247" s="15"/>
      <c r="K247" s="15"/>
      <c r="L247" s="15"/>
      <c r="M247" s="15"/>
      <c r="N247" s="15"/>
      <c r="O247" s="15"/>
      <c r="P247" s="15"/>
      <c r="Q247" s="15"/>
      <c r="R247" s="15"/>
      <c r="S247" s="15"/>
      <c r="T247" s="15"/>
      <c r="U247" s="15"/>
      <c r="V247" s="15"/>
    </row>
    <row r="248" spans="1:22">
      <c r="A248" s="15"/>
      <c r="B248" s="15"/>
      <c r="C248" s="15"/>
      <c r="D248" s="15"/>
      <c r="E248" s="15"/>
      <c r="F248" s="15"/>
      <c r="G248" s="15"/>
      <c r="H248" s="15"/>
      <c r="I248" s="15"/>
      <c r="J248" s="15"/>
      <c r="K248" s="15"/>
      <c r="L248" s="15"/>
      <c r="M248" s="15"/>
      <c r="N248" s="15"/>
      <c r="O248" s="15"/>
      <c r="P248" s="15"/>
      <c r="Q248" s="15"/>
      <c r="R248" s="15"/>
      <c r="S248" s="15"/>
      <c r="T248" s="15"/>
      <c r="U248" s="15"/>
      <c r="V248" s="15"/>
    </row>
    <row r="249" spans="1:22">
      <c r="A249" s="15"/>
      <c r="B249" s="15"/>
      <c r="C249" s="15"/>
      <c r="D249" s="15"/>
      <c r="E249" s="15"/>
      <c r="F249" s="15"/>
      <c r="G249" s="15"/>
      <c r="H249" s="15"/>
      <c r="I249" s="15"/>
      <c r="J249" s="15"/>
      <c r="K249" s="15"/>
      <c r="L249" s="15"/>
      <c r="M249" s="15"/>
      <c r="N249" s="15"/>
      <c r="O249" s="15"/>
      <c r="P249" s="15"/>
      <c r="Q249" s="15"/>
      <c r="R249" s="15"/>
      <c r="S249" s="15"/>
      <c r="T249" s="15"/>
      <c r="U249" s="15"/>
      <c r="V249" s="15"/>
    </row>
    <row r="250" spans="1:22">
      <c r="A250" s="15"/>
      <c r="B250" s="15"/>
      <c r="C250" s="15"/>
      <c r="D250" s="15"/>
      <c r="E250" s="15"/>
      <c r="F250" s="15"/>
      <c r="G250" s="15"/>
      <c r="H250" s="15"/>
      <c r="I250" s="15"/>
      <c r="J250" s="15"/>
      <c r="K250" s="15"/>
      <c r="L250" s="15"/>
      <c r="M250" s="15"/>
      <c r="N250" s="15"/>
      <c r="O250" s="15"/>
      <c r="P250" s="15"/>
      <c r="Q250" s="15"/>
      <c r="R250" s="15"/>
      <c r="S250" s="15"/>
      <c r="T250" s="15"/>
      <c r="U250" s="15"/>
      <c r="V250" s="15"/>
    </row>
    <row r="251" spans="1:22">
      <c r="A251" s="15"/>
      <c r="B251" s="15"/>
      <c r="C251" s="15"/>
      <c r="D251" s="15"/>
      <c r="E251" s="15"/>
      <c r="F251" s="15"/>
      <c r="G251" s="15"/>
      <c r="H251" s="15"/>
      <c r="I251" s="15"/>
      <c r="J251" s="15"/>
      <c r="K251" s="15"/>
      <c r="L251" s="15"/>
      <c r="M251" s="15"/>
      <c r="N251" s="15"/>
      <c r="O251" s="15"/>
      <c r="P251" s="15"/>
      <c r="Q251" s="15"/>
      <c r="R251" s="15"/>
      <c r="S251" s="15"/>
      <c r="T251" s="15"/>
      <c r="U251" s="15"/>
      <c r="V251" s="15"/>
    </row>
    <row r="252" spans="1:22">
      <c r="A252" s="15"/>
      <c r="B252" s="15"/>
      <c r="C252" s="15"/>
      <c r="D252" s="15"/>
      <c r="E252" s="15"/>
      <c r="F252" s="15"/>
      <c r="G252" s="15"/>
      <c r="H252" s="15"/>
      <c r="I252" s="15"/>
      <c r="J252" s="15"/>
      <c r="K252" s="15"/>
      <c r="L252" s="15"/>
      <c r="M252" s="15"/>
      <c r="N252" s="15"/>
      <c r="O252" s="15"/>
      <c r="P252" s="15"/>
      <c r="Q252" s="15"/>
      <c r="R252" s="15"/>
      <c r="S252" s="15"/>
      <c r="T252" s="15"/>
      <c r="U252" s="15"/>
      <c r="V252" s="15"/>
    </row>
    <row r="253" spans="1:22">
      <c r="A253" s="15"/>
      <c r="B253" s="15"/>
      <c r="C253" s="15"/>
      <c r="D253" s="15"/>
      <c r="E253" s="15"/>
      <c r="F253" s="15"/>
      <c r="G253" s="15"/>
      <c r="H253" s="15"/>
      <c r="I253" s="15"/>
      <c r="J253" s="15"/>
      <c r="K253" s="15"/>
      <c r="L253" s="15"/>
      <c r="M253" s="15"/>
      <c r="N253" s="15"/>
      <c r="O253" s="15"/>
      <c r="P253" s="15"/>
      <c r="Q253" s="15"/>
      <c r="R253" s="15"/>
      <c r="S253" s="15"/>
      <c r="T253" s="15"/>
      <c r="U253" s="15"/>
      <c r="V253" s="15"/>
    </row>
    <row r="254" spans="1:22">
      <c r="A254" s="15"/>
      <c r="B254" s="15"/>
      <c r="C254" s="15"/>
      <c r="D254" s="15"/>
      <c r="E254" s="15"/>
      <c r="F254" s="15"/>
      <c r="G254" s="15"/>
      <c r="H254" s="15"/>
      <c r="I254" s="15"/>
      <c r="J254" s="15"/>
      <c r="K254" s="15"/>
      <c r="L254" s="15"/>
      <c r="M254" s="15"/>
      <c r="N254" s="15"/>
      <c r="O254" s="15"/>
      <c r="P254" s="15"/>
      <c r="Q254" s="15"/>
      <c r="R254" s="15"/>
      <c r="S254" s="15"/>
      <c r="T254" s="15"/>
      <c r="U254" s="15"/>
      <c r="V254" s="15"/>
    </row>
    <row r="255" spans="1:22">
      <c r="A255" s="15"/>
      <c r="B255" s="15"/>
      <c r="C255" s="15"/>
      <c r="D255" s="15"/>
      <c r="E255" s="15"/>
      <c r="F255" s="15"/>
      <c r="G255" s="15"/>
      <c r="H255" s="15"/>
      <c r="I255" s="15"/>
      <c r="J255" s="15"/>
      <c r="K255" s="15"/>
      <c r="L255" s="15"/>
      <c r="M255" s="15"/>
      <c r="N255" s="15"/>
      <c r="O255" s="15"/>
      <c r="P255" s="15"/>
      <c r="Q255" s="15"/>
      <c r="R255" s="15"/>
      <c r="S255" s="15"/>
      <c r="T255" s="15"/>
      <c r="U255" s="15"/>
      <c r="V255" s="15"/>
    </row>
    <row r="256" spans="1:22">
      <c r="A256" s="15"/>
      <c r="B256" s="15"/>
      <c r="C256" s="15"/>
      <c r="D256" s="15"/>
      <c r="E256" s="15"/>
      <c r="F256" s="15"/>
      <c r="G256" s="15"/>
      <c r="H256" s="15"/>
      <c r="I256" s="15"/>
      <c r="J256" s="15"/>
      <c r="K256" s="15"/>
      <c r="L256" s="15"/>
      <c r="M256" s="15"/>
      <c r="N256" s="15"/>
      <c r="O256" s="15"/>
      <c r="P256" s="15"/>
      <c r="Q256" s="15"/>
      <c r="R256" s="15"/>
      <c r="S256" s="15"/>
      <c r="T256" s="15"/>
      <c r="U256" s="15"/>
      <c r="V256" s="15"/>
    </row>
    <row r="257" spans="1:22">
      <c r="A257" s="15"/>
      <c r="B257" s="15"/>
      <c r="C257" s="15"/>
      <c r="D257" s="15"/>
      <c r="E257" s="15"/>
      <c r="F257" s="15"/>
      <c r="G257" s="15"/>
      <c r="H257" s="15"/>
      <c r="I257" s="15"/>
      <c r="J257" s="15"/>
      <c r="K257" s="15"/>
      <c r="L257" s="15"/>
      <c r="M257" s="15"/>
      <c r="N257" s="15"/>
      <c r="O257" s="15"/>
      <c r="P257" s="15"/>
      <c r="Q257" s="15"/>
      <c r="R257" s="15"/>
      <c r="S257" s="15"/>
      <c r="T257" s="15"/>
      <c r="U257" s="15"/>
      <c r="V257" s="15"/>
    </row>
    <row r="258" spans="1:22">
      <c r="A258" s="15"/>
      <c r="B258" s="15"/>
      <c r="C258" s="15"/>
      <c r="D258" s="15"/>
      <c r="E258" s="15"/>
      <c r="F258" s="15"/>
      <c r="G258" s="15"/>
      <c r="H258" s="15"/>
      <c r="I258" s="15"/>
      <c r="J258" s="15"/>
      <c r="K258" s="15"/>
      <c r="L258" s="15"/>
      <c r="M258" s="15"/>
      <c r="N258" s="15"/>
      <c r="O258" s="15"/>
      <c r="P258" s="15"/>
      <c r="Q258" s="15"/>
      <c r="R258" s="15"/>
      <c r="S258" s="15"/>
      <c r="T258" s="15"/>
      <c r="U258" s="15"/>
      <c r="V258" s="15"/>
    </row>
    <row r="259" spans="1:22">
      <c r="A259" s="15"/>
      <c r="B259" s="15"/>
      <c r="C259" s="15"/>
      <c r="D259" s="15"/>
      <c r="E259" s="15"/>
      <c r="F259" s="15"/>
      <c r="G259" s="15"/>
      <c r="H259" s="15"/>
      <c r="I259" s="15"/>
      <c r="J259" s="15"/>
      <c r="K259" s="15"/>
      <c r="L259" s="15"/>
      <c r="M259" s="15"/>
      <c r="N259" s="15"/>
      <c r="O259" s="15"/>
      <c r="P259" s="15"/>
      <c r="Q259" s="15"/>
      <c r="R259" s="15"/>
      <c r="S259" s="15"/>
      <c r="T259" s="15"/>
      <c r="U259" s="15"/>
      <c r="V259" s="15"/>
    </row>
    <row r="260" spans="1:22">
      <c r="A260" s="15"/>
      <c r="B260" s="15"/>
      <c r="C260" s="15"/>
      <c r="D260" s="15"/>
      <c r="E260" s="15"/>
      <c r="F260" s="15"/>
      <c r="G260" s="15"/>
      <c r="H260" s="15"/>
      <c r="I260" s="15"/>
      <c r="J260" s="15"/>
      <c r="K260" s="15"/>
      <c r="L260" s="15"/>
      <c r="M260" s="15"/>
      <c r="N260" s="15"/>
      <c r="O260" s="15"/>
      <c r="P260" s="15"/>
      <c r="Q260" s="15"/>
      <c r="R260" s="15"/>
      <c r="S260" s="15"/>
      <c r="T260" s="15"/>
      <c r="U260" s="15"/>
      <c r="V260" s="15"/>
    </row>
    <row r="261" spans="1:22">
      <c r="A261" s="15"/>
      <c r="B261" s="15"/>
      <c r="C261" s="15"/>
      <c r="D261" s="15"/>
      <c r="E261" s="15"/>
      <c r="F261" s="15"/>
      <c r="G261" s="15"/>
      <c r="H261" s="15"/>
      <c r="I261" s="15"/>
      <c r="J261" s="15"/>
      <c r="K261" s="15"/>
      <c r="L261" s="15"/>
      <c r="M261" s="15"/>
      <c r="N261" s="15"/>
      <c r="O261" s="15"/>
      <c r="P261" s="15"/>
      <c r="Q261" s="15"/>
      <c r="R261" s="15"/>
      <c r="S261" s="15"/>
      <c r="T261" s="15"/>
      <c r="U261" s="15"/>
      <c r="V261" s="15"/>
    </row>
    <row r="262" spans="1:22">
      <c r="A262" s="15"/>
      <c r="B262" s="15"/>
      <c r="C262" s="15"/>
      <c r="D262" s="15"/>
      <c r="E262" s="15"/>
      <c r="F262" s="15"/>
      <c r="G262" s="15"/>
      <c r="H262" s="15"/>
      <c r="I262" s="15"/>
      <c r="J262" s="15"/>
      <c r="K262" s="15"/>
      <c r="L262" s="15"/>
      <c r="M262" s="15"/>
      <c r="N262" s="15"/>
      <c r="O262" s="15"/>
      <c r="P262" s="15"/>
      <c r="Q262" s="15"/>
      <c r="R262" s="15"/>
      <c r="S262" s="15"/>
      <c r="T262" s="15"/>
      <c r="U262" s="15"/>
      <c r="V262" s="15"/>
    </row>
    <row r="263" spans="1:22">
      <c r="A263" s="15"/>
      <c r="B263" s="15"/>
      <c r="C263" s="15"/>
      <c r="D263" s="15"/>
      <c r="E263" s="15"/>
      <c r="F263" s="15"/>
      <c r="G263" s="15"/>
      <c r="H263" s="15"/>
      <c r="I263" s="15"/>
      <c r="J263" s="15"/>
      <c r="K263" s="15"/>
      <c r="L263" s="15"/>
      <c r="M263" s="15"/>
      <c r="N263" s="15"/>
      <c r="O263" s="15"/>
      <c r="P263" s="15"/>
      <c r="Q263" s="15"/>
      <c r="R263" s="15"/>
      <c r="S263" s="15"/>
      <c r="T263" s="15"/>
      <c r="U263" s="15"/>
      <c r="V263" s="15"/>
    </row>
    <row r="264" spans="1:22">
      <c r="A264" s="15"/>
      <c r="B264" s="15"/>
      <c r="C264" s="15"/>
      <c r="D264" s="15"/>
      <c r="E264" s="15"/>
      <c r="F264" s="15"/>
      <c r="G264" s="15"/>
      <c r="H264" s="15"/>
      <c r="I264" s="15"/>
      <c r="J264" s="15"/>
      <c r="K264" s="15"/>
      <c r="L264" s="15"/>
      <c r="M264" s="15"/>
      <c r="N264" s="15"/>
      <c r="O264" s="15"/>
      <c r="P264" s="15"/>
      <c r="Q264" s="15"/>
      <c r="R264" s="15"/>
      <c r="S264" s="15"/>
      <c r="T264" s="15"/>
      <c r="U264" s="15"/>
      <c r="V264" s="15"/>
    </row>
    <row r="265" spans="1:22">
      <c r="A265" s="15"/>
      <c r="B265" s="15"/>
      <c r="C265" s="15"/>
      <c r="D265" s="15"/>
      <c r="E265" s="15"/>
      <c r="F265" s="15"/>
      <c r="G265" s="15"/>
      <c r="H265" s="15"/>
      <c r="I265" s="15"/>
      <c r="J265" s="15"/>
      <c r="K265" s="15"/>
      <c r="L265" s="15"/>
      <c r="M265" s="15"/>
      <c r="N265" s="15"/>
      <c r="O265" s="15"/>
      <c r="P265" s="15"/>
      <c r="Q265" s="15"/>
      <c r="R265" s="15"/>
      <c r="S265" s="15"/>
      <c r="T265" s="15"/>
      <c r="U265" s="15"/>
      <c r="V265" s="15"/>
    </row>
    <row r="266" spans="1:22">
      <c r="A266" s="15"/>
      <c r="B266" s="15"/>
      <c r="C266" s="15"/>
      <c r="D266" s="15"/>
      <c r="E266" s="15"/>
      <c r="F266" s="15"/>
      <c r="G266" s="15"/>
      <c r="H266" s="15"/>
      <c r="I266" s="15"/>
      <c r="J266" s="15"/>
      <c r="K266" s="15"/>
      <c r="L266" s="15"/>
      <c r="M266" s="15"/>
      <c r="N266" s="15"/>
      <c r="O266" s="15"/>
      <c r="P266" s="15"/>
      <c r="Q266" s="15"/>
      <c r="R266" s="15"/>
      <c r="S266" s="15"/>
      <c r="T266" s="15"/>
      <c r="U266" s="15"/>
      <c r="V266" s="15"/>
    </row>
    <row r="267" spans="1:22">
      <c r="A267" s="15"/>
      <c r="B267" s="15"/>
      <c r="C267" s="15"/>
      <c r="D267" s="15"/>
      <c r="E267" s="15"/>
      <c r="F267" s="15"/>
      <c r="G267" s="15"/>
      <c r="H267" s="15"/>
      <c r="I267" s="15"/>
      <c r="J267" s="15"/>
      <c r="K267" s="15"/>
      <c r="L267" s="15"/>
      <c r="M267" s="15"/>
      <c r="N267" s="15"/>
      <c r="O267" s="15"/>
      <c r="P267" s="15"/>
      <c r="Q267" s="15"/>
      <c r="R267" s="15"/>
      <c r="S267" s="15"/>
      <c r="T267" s="15"/>
      <c r="U267" s="15"/>
      <c r="V267" s="15"/>
    </row>
    <row r="268" spans="1:22">
      <c r="A268" s="15"/>
      <c r="B268" s="15"/>
      <c r="C268" s="15"/>
      <c r="D268" s="15"/>
      <c r="E268" s="15"/>
      <c r="F268" s="15"/>
      <c r="G268" s="15"/>
      <c r="H268" s="15"/>
      <c r="I268" s="15"/>
      <c r="J268" s="15"/>
      <c r="K268" s="15"/>
      <c r="L268" s="15"/>
      <c r="M268" s="15"/>
      <c r="N268" s="15"/>
      <c r="O268" s="15"/>
      <c r="P268" s="15"/>
      <c r="Q268" s="15"/>
      <c r="R268" s="15"/>
      <c r="S268" s="15"/>
      <c r="T268" s="15"/>
      <c r="U268" s="15"/>
      <c r="V268" s="15"/>
    </row>
    <row r="269" spans="1:22">
      <c r="A269" s="15"/>
      <c r="B269" s="15"/>
      <c r="C269" s="15"/>
      <c r="D269" s="15"/>
      <c r="E269" s="15"/>
      <c r="F269" s="15"/>
      <c r="G269" s="15"/>
      <c r="H269" s="15"/>
      <c r="I269" s="15"/>
      <c r="J269" s="15"/>
      <c r="K269" s="15"/>
      <c r="L269" s="15"/>
      <c r="M269" s="15"/>
      <c r="N269" s="15"/>
      <c r="O269" s="15"/>
      <c r="P269" s="15"/>
      <c r="Q269" s="15"/>
      <c r="R269" s="15"/>
      <c r="S269" s="15"/>
      <c r="T269" s="15"/>
      <c r="U269" s="15"/>
      <c r="V269" s="15"/>
    </row>
    <row r="270" spans="1:22">
      <c r="A270" s="15"/>
      <c r="B270" s="15"/>
      <c r="C270" s="15"/>
      <c r="D270" s="15"/>
      <c r="E270" s="15"/>
      <c r="F270" s="15"/>
      <c r="G270" s="15"/>
      <c r="H270" s="15"/>
      <c r="I270" s="15"/>
      <c r="J270" s="15"/>
      <c r="K270" s="15"/>
      <c r="L270" s="15"/>
      <c r="M270" s="15"/>
      <c r="N270" s="15"/>
      <c r="O270" s="15"/>
      <c r="P270" s="15"/>
      <c r="Q270" s="15"/>
      <c r="R270" s="15"/>
      <c r="S270" s="15"/>
      <c r="T270" s="15"/>
      <c r="U270" s="15"/>
      <c r="V270" s="15"/>
    </row>
    <row r="271" spans="1:22">
      <c r="A271" s="15"/>
      <c r="B271" s="15"/>
      <c r="C271" s="15"/>
      <c r="D271" s="15"/>
      <c r="E271" s="15"/>
      <c r="F271" s="15"/>
      <c r="G271" s="15"/>
      <c r="H271" s="15"/>
      <c r="I271" s="15"/>
      <c r="J271" s="15"/>
      <c r="K271" s="15"/>
      <c r="L271" s="15"/>
      <c r="M271" s="15"/>
      <c r="N271" s="15"/>
      <c r="O271" s="15"/>
      <c r="P271" s="15"/>
      <c r="Q271" s="15"/>
      <c r="R271" s="15"/>
      <c r="S271" s="15"/>
      <c r="T271" s="15"/>
      <c r="U271" s="15"/>
      <c r="V271" s="15"/>
    </row>
    <row r="272" spans="1:22">
      <c r="A272" s="15"/>
      <c r="B272" s="15"/>
      <c r="C272" s="15"/>
      <c r="D272" s="15"/>
      <c r="E272" s="15"/>
      <c r="F272" s="15"/>
      <c r="G272" s="15"/>
      <c r="H272" s="15"/>
      <c r="I272" s="15"/>
      <c r="J272" s="15"/>
      <c r="K272" s="15"/>
      <c r="L272" s="15"/>
      <c r="M272" s="15"/>
      <c r="N272" s="15"/>
      <c r="O272" s="15"/>
      <c r="P272" s="15"/>
      <c r="Q272" s="15"/>
      <c r="R272" s="15"/>
      <c r="S272" s="15"/>
      <c r="T272" s="15"/>
      <c r="U272" s="15"/>
      <c r="V272" s="15"/>
    </row>
    <row r="273" spans="1:22">
      <c r="A273" s="15"/>
      <c r="B273" s="15"/>
      <c r="C273" s="15"/>
      <c r="D273" s="15"/>
      <c r="E273" s="15"/>
      <c r="F273" s="15"/>
      <c r="G273" s="15"/>
      <c r="H273" s="15"/>
      <c r="I273" s="15"/>
      <c r="J273" s="15"/>
      <c r="K273" s="15"/>
      <c r="L273" s="15"/>
      <c r="M273" s="15"/>
      <c r="N273" s="15"/>
      <c r="O273" s="15"/>
      <c r="P273" s="15"/>
      <c r="Q273" s="15"/>
      <c r="R273" s="15"/>
      <c r="S273" s="15"/>
      <c r="T273" s="15"/>
      <c r="U273" s="15"/>
      <c r="V273" s="15"/>
    </row>
    <row r="274" spans="1:22">
      <c r="A274" s="15"/>
      <c r="B274" s="15"/>
      <c r="C274" s="15"/>
      <c r="D274" s="15"/>
      <c r="E274" s="15"/>
      <c r="F274" s="15"/>
      <c r="G274" s="15"/>
      <c r="H274" s="15"/>
      <c r="I274" s="15"/>
      <c r="J274" s="15"/>
      <c r="K274" s="15"/>
      <c r="L274" s="15"/>
      <c r="M274" s="15"/>
      <c r="N274" s="15"/>
      <c r="O274" s="15"/>
      <c r="P274" s="15"/>
      <c r="Q274" s="15"/>
      <c r="R274" s="15"/>
      <c r="S274" s="15"/>
      <c r="T274" s="15"/>
      <c r="U274" s="15"/>
      <c r="V274" s="15"/>
    </row>
    <row r="275" spans="1:22">
      <c r="A275" s="15"/>
      <c r="B275" s="15"/>
      <c r="C275" s="15"/>
      <c r="D275" s="15"/>
      <c r="E275" s="15"/>
      <c r="F275" s="15"/>
      <c r="G275" s="15"/>
      <c r="H275" s="15"/>
      <c r="I275" s="15"/>
      <c r="J275" s="15"/>
      <c r="K275" s="15"/>
      <c r="L275" s="15"/>
      <c r="M275" s="15"/>
      <c r="N275" s="15"/>
      <c r="O275" s="15"/>
      <c r="P275" s="15"/>
      <c r="Q275" s="15"/>
      <c r="R275" s="15"/>
      <c r="S275" s="15"/>
      <c r="T275" s="15"/>
      <c r="U275" s="15"/>
      <c r="V275" s="15"/>
    </row>
    <row r="276" spans="1:22">
      <c r="A276" s="15"/>
      <c r="B276" s="15"/>
      <c r="C276" s="15"/>
      <c r="D276" s="15"/>
      <c r="E276" s="15"/>
      <c r="F276" s="15"/>
      <c r="G276" s="15"/>
      <c r="H276" s="15"/>
      <c r="I276" s="15"/>
      <c r="J276" s="15"/>
      <c r="K276" s="15"/>
      <c r="L276" s="15"/>
      <c r="M276" s="15"/>
      <c r="N276" s="15"/>
      <c r="O276" s="15"/>
      <c r="P276" s="15"/>
      <c r="Q276" s="15"/>
      <c r="R276" s="15"/>
      <c r="S276" s="15"/>
      <c r="T276" s="15"/>
      <c r="U276" s="15"/>
      <c r="V276" s="15"/>
    </row>
    <row r="277" spans="1:22">
      <c r="A277" s="15"/>
      <c r="B277" s="15"/>
      <c r="C277" s="15"/>
      <c r="D277" s="15"/>
      <c r="E277" s="15"/>
      <c r="F277" s="15"/>
      <c r="G277" s="15"/>
      <c r="H277" s="15"/>
      <c r="I277" s="15"/>
      <c r="J277" s="15"/>
      <c r="K277" s="15"/>
      <c r="L277" s="15"/>
      <c r="M277" s="15"/>
      <c r="N277" s="15"/>
      <c r="O277" s="15"/>
      <c r="P277" s="15"/>
      <c r="Q277" s="15"/>
      <c r="R277" s="15"/>
      <c r="S277" s="15"/>
      <c r="T277" s="15"/>
      <c r="U277" s="15"/>
      <c r="V277" s="15"/>
    </row>
    <row r="278" spans="1:22">
      <c r="A278" s="15"/>
      <c r="B278" s="15"/>
      <c r="C278" s="15"/>
      <c r="D278" s="15"/>
      <c r="E278" s="15"/>
      <c r="F278" s="15"/>
      <c r="G278" s="15"/>
      <c r="H278" s="15"/>
      <c r="I278" s="15"/>
      <c r="J278" s="15"/>
      <c r="K278" s="15"/>
      <c r="L278" s="15"/>
      <c r="M278" s="15"/>
      <c r="N278" s="15"/>
      <c r="O278" s="15"/>
      <c r="P278" s="15"/>
      <c r="Q278" s="15"/>
      <c r="R278" s="15"/>
      <c r="S278" s="15"/>
      <c r="T278" s="15"/>
      <c r="U278" s="15"/>
      <c r="V278" s="15"/>
    </row>
    <row r="279" spans="1:22">
      <c r="A279" s="15"/>
      <c r="B279" s="15"/>
      <c r="C279" s="15"/>
      <c r="D279" s="15"/>
      <c r="E279" s="15"/>
      <c r="F279" s="15"/>
      <c r="G279" s="15"/>
      <c r="H279" s="15"/>
      <c r="I279" s="15"/>
      <c r="J279" s="15"/>
      <c r="K279" s="15"/>
      <c r="L279" s="15"/>
      <c r="M279" s="15"/>
      <c r="N279" s="15"/>
      <c r="O279" s="15"/>
      <c r="P279" s="15"/>
      <c r="Q279" s="15"/>
      <c r="R279" s="15"/>
      <c r="S279" s="15"/>
      <c r="T279" s="15"/>
      <c r="U279" s="15"/>
      <c r="V279"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E63E-AA3E-4F70-AF85-630DD893FFB6}">
  <dimension ref="A1:U43"/>
  <sheetViews>
    <sheetView workbookViewId="0"/>
  </sheetViews>
  <sheetFormatPr defaultRowHeight="15"/>
  <sheetData>
    <row r="1" spans="1:21">
      <c r="A1" s="18"/>
      <c r="B1" s="18"/>
      <c r="C1" s="18"/>
      <c r="D1" s="18"/>
      <c r="E1" s="18"/>
      <c r="F1" s="18"/>
      <c r="G1" s="18"/>
      <c r="H1" s="18"/>
      <c r="I1" s="18"/>
      <c r="J1" s="18"/>
      <c r="K1" s="18"/>
      <c r="L1" s="18"/>
      <c r="M1" s="18"/>
      <c r="N1" s="18"/>
      <c r="O1" s="18"/>
      <c r="P1" s="18"/>
      <c r="Q1" s="18"/>
      <c r="R1" s="18"/>
      <c r="S1" s="18"/>
      <c r="T1" s="18"/>
      <c r="U1" s="18"/>
    </row>
    <row r="2" spans="1:21">
      <c r="A2" s="18"/>
      <c r="B2" s="18"/>
      <c r="C2" s="18"/>
      <c r="D2" s="18"/>
      <c r="E2" s="18"/>
      <c r="F2" s="18"/>
      <c r="G2" s="18"/>
      <c r="H2" s="18"/>
      <c r="I2" s="18"/>
      <c r="J2" s="18"/>
      <c r="K2" s="18"/>
      <c r="L2" s="18"/>
      <c r="M2" s="18"/>
      <c r="N2" s="18"/>
      <c r="O2" s="18"/>
      <c r="P2" s="18"/>
      <c r="Q2" s="18"/>
      <c r="R2" s="18"/>
      <c r="S2" s="18"/>
      <c r="T2" s="18"/>
      <c r="U2" s="18"/>
    </row>
    <row r="3" spans="1:21">
      <c r="A3" s="18"/>
      <c r="B3" s="18"/>
      <c r="C3" s="18"/>
      <c r="D3" s="18"/>
      <c r="E3" s="18"/>
      <c r="F3" s="18"/>
      <c r="G3" s="18"/>
      <c r="H3" s="18"/>
      <c r="I3" s="18"/>
      <c r="J3" s="18"/>
      <c r="K3" s="18"/>
      <c r="L3" s="18"/>
      <c r="M3" s="18"/>
      <c r="N3" s="18"/>
      <c r="O3" s="18"/>
      <c r="P3" s="18"/>
      <c r="Q3" s="18"/>
      <c r="R3" s="18"/>
      <c r="S3" s="18"/>
      <c r="T3" s="18"/>
      <c r="U3" s="18"/>
    </row>
    <row r="4" spans="1:21">
      <c r="A4" s="18"/>
      <c r="B4" s="18"/>
      <c r="C4" s="18"/>
      <c r="D4" s="18"/>
      <c r="E4" s="18"/>
      <c r="F4" s="18"/>
      <c r="G4" s="18"/>
      <c r="H4" s="18"/>
      <c r="I4" s="18"/>
      <c r="J4" s="18"/>
      <c r="K4" s="18"/>
      <c r="L4" s="18"/>
      <c r="M4" s="18"/>
      <c r="N4" s="18"/>
      <c r="O4" s="18"/>
      <c r="P4" s="18"/>
      <c r="Q4" s="18"/>
      <c r="R4" s="18"/>
      <c r="S4" s="18"/>
      <c r="T4" s="18"/>
      <c r="U4" s="18"/>
    </row>
    <row r="5" spans="1:21">
      <c r="A5" s="18"/>
      <c r="B5" s="18"/>
      <c r="C5" s="18"/>
      <c r="D5" s="18"/>
      <c r="E5" s="18"/>
      <c r="F5" s="18"/>
      <c r="G5" s="18"/>
      <c r="H5" s="18"/>
      <c r="I5" s="18"/>
      <c r="J5" s="18"/>
      <c r="K5" s="18"/>
      <c r="L5" s="18"/>
      <c r="M5" s="18"/>
      <c r="N5" s="18"/>
      <c r="O5" s="18"/>
      <c r="P5" s="18"/>
      <c r="Q5" s="18"/>
      <c r="R5" s="18"/>
      <c r="S5" s="18"/>
      <c r="T5" s="18"/>
      <c r="U5" s="18"/>
    </row>
    <row r="6" spans="1:21">
      <c r="A6" s="18"/>
      <c r="B6" s="18"/>
      <c r="C6" s="18"/>
      <c r="D6" s="18"/>
      <c r="E6" s="18"/>
      <c r="F6" s="18"/>
      <c r="G6" s="18"/>
      <c r="H6" s="18"/>
      <c r="I6" s="18"/>
      <c r="J6" s="18"/>
      <c r="K6" s="18"/>
      <c r="L6" s="18"/>
      <c r="M6" s="18"/>
      <c r="N6" s="18"/>
      <c r="O6" s="18"/>
      <c r="P6" s="18"/>
      <c r="Q6" s="18"/>
      <c r="R6" s="18"/>
      <c r="S6" s="18"/>
      <c r="T6" s="18"/>
      <c r="U6" s="18"/>
    </row>
    <row r="7" spans="1:21">
      <c r="A7" s="18"/>
      <c r="B7" s="18"/>
      <c r="C7" s="18"/>
      <c r="D7" s="18"/>
      <c r="E7" s="18"/>
      <c r="F7" s="18"/>
      <c r="G7" s="18"/>
      <c r="H7" s="18"/>
      <c r="I7" s="18"/>
      <c r="J7" s="18"/>
      <c r="K7" s="18"/>
      <c r="L7" s="18"/>
      <c r="M7" s="18"/>
      <c r="N7" s="18"/>
      <c r="O7" s="18"/>
      <c r="P7" s="18"/>
      <c r="Q7" s="18"/>
      <c r="R7" s="18"/>
      <c r="S7" s="18"/>
      <c r="T7" s="18"/>
      <c r="U7" s="18"/>
    </row>
    <row r="8" spans="1:21">
      <c r="A8" s="18"/>
      <c r="B8" s="18"/>
      <c r="C8" s="18"/>
      <c r="D8" s="18"/>
      <c r="E8" s="18"/>
      <c r="F8" s="18"/>
      <c r="G8" s="18"/>
      <c r="H8" s="18"/>
      <c r="I8" s="18"/>
      <c r="J8" s="18"/>
      <c r="K8" s="18"/>
      <c r="L8" s="18"/>
      <c r="M8" s="18"/>
      <c r="N8" s="18"/>
      <c r="O8" s="18"/>
      <c r="P8" s="18"/>
      <c r="Q8" s="18"/>
      <c r="R8" s="18"/>
      <c r="S8" s="18"/>
      <c r="T8" s="18"/>
      <c r="U8" s="18"/>
    </row>
    <row r="9" spans="1:21">
      <c r="A9" s="18"/>
      <c r="B9" s="18"/>
      <c r="C9" s="18"/>
      <c r="D9" s="18"/>
      <c r="E9" s="18"/>
      <c r="F9" s="18"/>
      <c r="G9" s="18"/>
      <c r="H9" s="18"/>
      <c r="I9" s="18"/>
      <c r="J9" s="18"/>
      <c r="K9" s="18"/>
      <c r="L9" s="18"/>
      <c r="M9" s="18"/>
      <c r="N9" s="18"/>
      <c r="O9" s="18"/>
      <c r="P9" s="18"/>
      <c r="Q9" s="18"/>
      <c r="R9" s="18"/>
      <c r="S9" s="18"/>
      <c r="T9" s="18"/>
      <c r="U9" s="18"/>
    </row>
    <row r="10" spans="1:21">
      <c r="A10" s="18"/>
      <c r="B10" s="18"/>
      <c r="C10" s="18"/>
      <c r="D10" s="18"/>
      <c r="E10" s="18"/>
      <c r="F10" s="18"/>
      <c r="G10" s="18"/>
      <c r="H10" s="18"/>
      <c r="I10" s="18"/>
      <c r="J10" s="18"/>
      <c r="K10" s="18"/>
      <c r="L10" s="18"/>
      <c r="M10" s="18"/>
      <c r="N10" s="18"/>
      <c r="O10" s="18"/>
      <c r="P10" s="18"/>
      <c r="Q10" s="18"/>
      <c r="R10" s="18"/>
      <c r="S10" s="18"/>
      <c r="T10" s="18"/>
      <c r="U10" s="18"/>
    </row>
    <row r="11" spans="1:21">
      <c r="A11" s="18"/>
      <c r="B11" s="18"/>
      <c r="C11" s="18"/>
      <c r="D11" s="18"/>
      <c r="E11" s="18"/>
      <c r="F11" s="18"/>
      <c r="G11" s="18"/>
      <c r="H11" s="18"/>
      <c r="I11" s="18"/>
      <c r="J11" s="18"/>
      <c r="K11" s="18"/>
      <c r="L11" s="18"/>
      <c r="M11" s="18"/>
      <c r="N11" s="18"/>
      <c r="O11" s="18"/>
      <c r="P11" s="18"/>
      <c r="Q11" s="18"/>
      <c r="R11" s="18"/>
      <c r="S11" s="18"/>
      <c r="T11" s="18"/>
      <c r="U11" s="18"/>
    </row>
    <row r="12" spans="1:21">
      <c r="A12" s="18"/>
      <c r="B12" s="18"/>
      <c r="C12" s="18"/>
      <c r="D12" s="18"/>
      <c r="E12" s="18"/>
      <c r="F12" s="18"/>
      <c r="G12" s="18"/>
      <c r="H12" s="18"/>
      <c r="I12" s="18"/>
      <c r="J12" s="18"/>
      <c r="K12" s="18"/>
      <c r="L12" s="18"/>
      <c r="M12" s="18"/>
      <c r="N12" s="18"/>
      <c r="O12" s="18"/>
      <c r="P12" s="18"/>
      <c r="Q12" s="18"/>
      <c r="R12" s="18"/>
      <c r="S12" s="18"/>
      <c r="T12" s="18"/>
      <c r="U12" s="18"/>
    </row>
    <row r="13" spans="1:21">
      <c r="A13" s="18"/>
      <c r="B13" s="18"/>
      <c r="C13" s="18"/>
      <c r="D13" s="18"/>
      <c r="E13" s="18"/>
      <c r="F13" s="18"/>
      <c r="G13" s="18"/>
      <c r="H13" s="18"/>
      <c r="I13" s="18"/>
      <c r="J13" s="18"/>
      <c r="K13" s="18"/>
      <c r="L13" s="18"/>
      <c r="M13" s="18"/>
      <c r="N13" s="18"/>
      <c r="O13" s="18"/>
      <c r="P13" s="18"/>
      <c r="Q13" s="18"/>
      <c r="R13" s="18"/>
      <c r="S13" s="18"/>
      <c r="T13" s="18"/>
      <c r="U13" s="18"/>
    </row>
    <row r="14" spans="1:21">
      <c r="A14" s="18"/>
      <c r="B14" s="18"/>
      <c r="C14" s="18"/>
      <c r="D14" s="18"/>
      <c r="E14" s="18"/>
      <c r="F14" s="18"/>
      <c r="G14" s="18"/>
      <c r="H14" s="18"/>
      <c r="I14" s="18"/>
      <c r="J14" s="18"/>
      <c r="K14" s="18"/>
      <c r="L14" s="18"/>
      <c r="M14" s="18"/>
      <c r="N14" s="18"/>
      <c r="O14" s="18"/>
      <c r="P14" s="18"/>
      <c r="Q14" s="18"/>
      <c r="R14" s="18"/>
      <c r="S14" s="18"/>
      <c r="T14" s="18"/>
      <c r="U14" s="18"/>
    </row>
    <row r="15" spans="1:21">
      <c r="A15" s="18"/>
      <c r="B15" s="18"/>
      <c r="C15" s="18"/>
      <c r="D15" s="18"/>
      <c r="E15" s="18"/>
      <c r="F15" s="18"/>
      <c r="G15" s="18"/>
      <c r="H15" s="18"/>
      <c r="I15" s="18"/>
      <c r="J15" s="18"/>
      <c r="K15" s="18"/>
      <c r="L15" s="18"/>
      <c r="M15" s="18"/>
      <c r="N15" s="18"/>
      <c r="O15" s="18"/>
      <c r="P15" s="18"/>
      <c r="Q15" s="18"/>
      <c r="R15" s="18"/>
      <c r="S15" s="18"/>
      <c r="T15" s="18"/>
      <c r="U15" s="18"/>
    </row>
    <row r="16" spans="1:21">
      <c r="A16" s="18"/>
      <c r="B16" s="18"/>
      <c r="C16" s="18"/>
      <c r="D16" s="18"/>
      <c r="E16" s="18"/>
      <c r="F16" s="18"/>
      <c r="G16" s="18"/>
      <c r="H16" s="18"/>
      <c r="I16" s="18"/>
      <c r="J16" s="18"/>
      <c r="K16" s="18"/>
      <c r="L16" s="18"/>
      <c r="M16" s="18"/>
      <c r="N16" s="18"/>
      <c r="O16" s="18"/>
      <c r="P16" s="18"/>
      <c r="Q16" s="18"/>
      <c r="R16" s="18"/>
      <c r="S16" s="18"/>
      <c r="T16" s="18"/>
      <c r="U16" s="18"/>
    </row>
    <row r="17" spans="1:21">
      <c r="A17" s="18"/>
      <c r="B17" s="18"/>
      <c r="C17" s="18"/>
      <c r="D17" s="18"/>
      <c r="E17" s="18"/>
      <c r="F17" s="18"/>
      <c r="G17" s="18"/>
      <c r="H17" s="18"/>
      <c r="I17" s="18"/>
      <c r="J17" s="18"/>
      <c r="K17" s="18"/>
      <c r="L17" s="18"/>
      <c r="M17" s="18"/>
      <c r="N17" s="18"/>
      <c r="O17" s="18"/>
      <c r="P17" s="18"/>
      <c r="Q17" s="18"/>
      <c r="R17" s="18"/>
      <c r="S17" s="18"/>
      <c r="T17" s="18"/>
      <c r="U17" s="18"/>
    </row>
    <row r="18" spans="1:21">
      <c r="A18" s="18"/>
      <c r="B18" s="18"/>
      <c r="C18" s="18"/>
      <c r="D18" s="18"/>
      <c r="E18" s="18"/>
      <c r="F18" s="18"/>
      <c r="G18" s="18"/>
      <c r="H18" s="18"/>
      <c r="I18" s="18"/>
      <c r="J18" s="18"/>
      <c r="K18" s="18"/>
      <c r="L18" s="18"/>
      <c r="M18" s="18"/>
      <c r="N18" s="18"/>
      <c r="O18" s="18"/>
      <c r="P18" s="18"/>
      <c r="Q18" s="18"/>
      <c r="R18" s="18"/>
      <c r="S18" s="18"/>
      <c r="T18" s="18"/>
      <c r="U18" s="18"/>
    </row>
    <row r="19" spans="1:21">
      <c r="A19" s="18"/>
      <c r="B19" s="18"/>
      <c r="C19" s="18"/>
      <c r="D19" s="18"/>
      <c r="E19" s="18"/>
      <c r="F19" s="18"/>
      <c r="G19" s="18"/>
      <c r="H19" s="18"/>
      <c r="I19" s="18"/>
      <c r="J19" s="18"/>
      <c r="K19" s="18"/>
      <c r="L19" s="18"/>
      <c r="M19" s="18"/>
      <c r="N19" s="18"/>
      <c r="O19" s="18"/>
      <c r="P19" s="18"/>
      <c r="Q19" s="18"/>
      <c r="R19" s="18"/>
      <c r="S19" s="18"/>
      <c r="T19" s="18"/>
      <c r="U19" s="18"/>
    </row>
    <row r="20" spans="1:21">
      <c r="A20" s="18"/>
      <c r="B20" s="18"/>
      <c r="C20" s="18"/>
      <c r="D20" s="18"/>
      <c r="E20" s="18"/>
      <c r="F20" s="18"/>
      <c r="G20" s="18"/>
      <c r="H20" s="18"/>
      <c r="I20" s="18"/>
      <c r="J20" s="18"/>
      <c r="K20" s="18"/>
      <c r="L20" s="18"/>
      <c r="M20" s="18"/>
      <c r="N20" s="18"/>
      <c r="O20" s="18"/>
      <c r="P20" s="18"/>
      <c r="Q20" s="18"/>
      <c r="R20" s="18"/>
      <c r="S20" s="18"/>
      <c r="T20" s="18"/>
      <c r="U20" s="18"/>
    </row>
    <row r="21" spans="1:21">
      <c r="A21" s="18"/>
      <c r="B21" s="18"/>
      <c r="C21" s="18"/>
      <c r="D21" s="18"/>
      <c r="E21" s="18"/>
      <c r="F21" s="18"/>
      <c r="G21" s="18"/>
      <c r="H21" s="18"/>
      <c r="I21" s="18"/>
      <c r="J21" s="18"/>
      <c r="K21" s="18"/>
      <c r="L21" s="18"/>
      <c r="M21" s="18"/>
      <c r="N21" s="18"/>
      <c r="O21" s="18"/>
      <c r="P21" s="18"/>
      <c r="Q21" s="18"/>
      <c r="R21" s="18"/>
      <c r="S21" s="18"/>
      <c r="T21" s="18"/>
      <c r="U21" s="18"/>
    </row>
    <row r="22" spans="1:21">
      <c r="A22" s="18"/>
      <c r="B22" s="18"/>
      <c r="C22" s="18"/>
      <c r="D22" s="18"/>
      <c r="E22" s="18"/>
      <c r="F22" s="18"/>
      <c r="G22" s="18"/>
      <c r="H22" s="18"/>
      <c r="I22" s="18"/>
      <c r="J22" s="18"/>
      <c r="K22" s="18"/>
      <c r="L22" s="18"/>
      <c r="M22" s="18"/>
      <c r="N22" s="18"/>
      <c r="O22" s="18"/>
      <c r="P22" s="18"/>
      <c r="Q22" s="18"/>
      <c r="R22" s="18"/>
      <c r="S22" s="18"/>
      <c r="T22" s="18"/>
      <c r="U22" s="18"/>
    </row>
    <row r="23" spans="1:21">
      <c r="A23" s="18"/>
      <c r="B23" s="18"/>
      <c r="C23" s="18"/>
      <c r="D23" s="18"/>
      <c r="E23" s="18"/>
      <c r="F23" s="18"/>
      <c r="G23" s="18"/>
      <c r="H23" s="18"/>
      <c r="I23" s="18"/>
      <c r="J23" s="18"/>
      <c r="K23" s="18"/>
      <c r="L23" s="18"/>
      <c r="M23" s="18"/>
      <c r="N23" s="18"/>
      <c r="O23" s="18"/>
      <c r="P23" s="18"/>
      <c r="Q23" s="18"/>
      <c r="R23" s="18"/>
      <c r="S23" s="18"/>
      <c r="T23" s="18"/>
      <c r="U23" s="18"/>
    </row>
    <row r="24" spans="1:21">
      <c r="A24" s="18"/>
      <c r="B24" s="18"/>
      <c r="C24" s="18"/>
      <c r="D24" s="18"/>
      <c r="E24" s="18"/>
      <c r="F24" s="18"/>
      <c r="G24" s="18"/>
      <c r="H24" s="18"/>
      <c r="I24" s="18"/>
      <c r="J24" s="18"/>
      <c r="K24" s="18"/>
      <c r="L24" s="18"/>
      <c r="M24" s="18"/>
      <c r="N24" s="18"/>
      <c r="O24" s="18"/>
      <c r="P24" s="18"/>
      <c r="Q24" s="18"/>
      <c r="R24" s="18"/>
      <c r="S24" s="18"/>
      <c r="T24" s="18"/>
      <c r="U24" s="18"/>
    </row>
    <row r="25" spans="1:21">
      <c r="A25" s="18"/>
      <c r="B25" s="18"/>
      <c r="C25" s="18"/>
      <c r="D25" s="18"/>
      <c r="E25" s="18"/>
      <c r="F25" s="18"/>
      <c r="G25" s="18"/>
      <c r="H25" s="18"/>
      <c r="I25" s="18"/>
      <c r="J25" s="18"/>
      <c r="K25" s="18"/>
      <c r="L25" s="18"/>
      <c r="M25" s="18"/>
      <c r="N25" s="18"/>
      <c r="O25" s="18"/>
      <c r="P25" s="18"/>
      <c r="Q25" s="18"/>
      <c r="R25" s="18"/>
      <c r="S25" s="18"/>
      <c r="T25" s="18"/>
      <c r="U25" s="18"/>
    </row>
    <row r="26" spans="1:21">
      <c r="A26" s="18"/>
      <c r="B26" s="18"/>
      <c r="C26" s="18"/>
      <c r="D26" s="18"/>
      <c r="E26" s="18"/>
      <c r="F26" s="18"/>
      <c r="G26" s="18"/>
      <c r="H26" s="18"/>
      <c r="I26" s="18"/>
      <c r="J26" s="18"/>
      <c r="K26" s="18"/>
      <c r="L26" s="18"/>
      <c r="M26" s="18"/>
      <c r="N26" s="18"/>
      <c r="O26" s="18"/>
      <c r="P26" s="18"/>
      <c r="Q26" s="18"/>
      <c r="R26" s="18"/>
      <c r="S26" s="18"/>
      <c r="T26" s="18"/>
      <c r="U26" s="18"/>
    </row>
    <row r="27" spans="1:21">
      <c r="A27" s="18"/>
      <c r="B27" s="18"/>
      <c r="C27" s="18"/>
      <c r="D27" s="18"/>
      <c r="E27" s="18"/>
      <c r="F27" s="18"/>
      <c r="G27" s="18"/>
      <c r="H27" s="18"/>
      <c r="I27" s="18"/>
      <c r="J27" s="18"/>
      <c r="K27" s="18"/>
      <c r="L27" s="18"/>
      <c r="M27" s="18"/>
      <c r="N27" s="18"/>
      <c r="O27" s="18"/>
      <c r="P27" s="18"/>
      <c r="Q27" s="18"/>
      <c r="R27" s="18"/>
      <c r="S27" s="18"/>
      <c r="T27" s="18"/>
      <c r="U27" s="18"/>
    </row>
    <row r="28" spans="1:21">
      <c r="A28" s="18"/>
      <c r="B28" s="18"/>
      <c r="C28" s="18"/>
      <c r="D28" s="18"/>
      <c r="E28" s="18"/>
      <c r="F28" s="18"/>
      <c r="G28" s="18"/>
      <c r="H28" s="18"/>
      <c r="I28" s="18"/>
      <c r="J28" s="18"/>
      <c r="K28" s="18"/>
      <c r="L28" s="18"/>
      <c r="M28" s="18"/>
      <c r="N28" s="18"/>
      <c r="O28" s="18"/>
      <c r="P28" s="18"/>
      <c r="Q28" s="18"/>
      <c r="R28" s="18"/>
      <c r="S28" s="18"/>
      <c r="T28" s="18"/>
      <c r="U28" s="18"/>
    </row>
    <row r="29" spans="1:21">
      <c r="A29" s="18"/>
      <c r="B29" s="18"/>
      <c r="C29" s="18"/>
      <c r="D29" s="18"/>
      <c r="E29" s="18"/>
      <c r="F29" s="18"/>
      <c r="G29" s="18"/>
      <c r="H29" s="18"/>
      <c r="I29" s="18"/>
      <c r="J29" s="18"/>
      <c r="K29" s="18"/>
      <c r="L29" s="18"/>
      <c r="M29" s="18"/>
      <c r="N29" s="18"/>
      <c r="O29" s="18"/>
      <c r="P29" s="18"/>
      <c r="Q29" s="18"/>
      <c r="R29" s="18"/>
      <c r="S29" s="18"/>
      <c r="T29" s="18"/>
      <c r="U29" s="18"/>
    </row>
    <row r="30" spans="1:21">
      <c r="A30" s="18"/>
      <c r="B30" s="18"/>
      <c r="C30" s="18"/>
      <c r="D30" s="18"/>
      <c r="E30" s="18"/>
      <c r="F30" s="18"/>
      <c r="G30" s="18"/>
      <c r="H30" s="18"/>
      <c r="I30" s="18"/>
      <c r="J30" s="18"/>
      <c r="K30" s="18"/>
      <c r="L30" s="18"/>
      <c r="M30" s="18"/>
      <c r="N30" s="18"/>
      <c r="O30" s="18"/>
      <c r="P30" s="18"/>
      <c r="Q30" s="18"/>
      <c r="R30" s="18"/>
      <c r="S30" s="18"/>
      <c r="T30" s="18"/>
      <c r="U30" s="18"/>
    </row>
    <row r="31" spans="1:21">
      <c r="A31" s="18"/>
      <c r="B31" s="18"/>
      <c r="C31" s="18"/>
      <c r="D31" s="18"/>
      <c r="E31" s="18"/>
      <c r="F31" s="18"/>
      <c r="G31" s="18"/>
      <c r="H31" s="18"/>
      <c r="I31" s="18"/>
      <c r="J31" s="18"/>
      <c r="K31" s="18"/>
      <c r="L31" s="18"/>
      <c r="M31" s="18"/>
      <c r="N31" s="18"/>
      <c r="O31" s="18"/>
      <c r="P31" s="18"/>
      <c r="Q31" s="18"/>
      <c r="R31" s="18"/>
      <c r="S31" s="18"/>
      <c r="T31" s="18"/>
      <c r="U31" s="18"/>
    </row>
    <row r="32" spans="1:21">
      <c r="A32" s="18"/>
      <c r="B32" s="18"/>
      <c r="C32" s="18"/>
      <c r="D32" s="18"/>
      <c r="E32" s="18"/>
      <c r="F32" s="18"/>
      <c r="G32" s="18"/>
      <c r="H32" s="18"/>
      <c r="I32" s="18"/>
      <c r="J32" s="18"/>
      <c r="K32" s="18"/>
      <c r="L32" s="18"/>
      <c r="M32" s="18"/>
      <c r="N32" s="18"/>
      <c r="O32" s="18"/>
      <c r="P32" s="18"/>
      <c r="Q32" s="18"/>
      <c r="R32" s="18"/>
      <c r="S32" s="18"/>
      <c r="T32" s="18"/>
      <c r="U32" s="18"/>
    </row>
    <row r="33" spans="1:21">
      <c r="A33" s="18"/>
      <c r="B33" s="18"/>
      <c r="C33" s="18"/>
      <c r="D33" s="18"/>
      <c r="E33" s="18"/>
      <c r="F33" s="18"/>
      <c r="G33" s="18"/>
      <c r="H33" s="18"/>
      <c r="I33" s="18"/>
      <c r="J33" s="18"/>
      <c r="K33" s="18"/>
      <c r="L33" s="18"/>
      <c r="M33" s="18"/>
      <c r="N33" s="18"/>
      <c r="O33" s="18"/>
      <c r="P33" s="18"/>
      <c r="Q33" s="18"/>
      <c r="R33" s="18"/>
      <c r="S33" s="18"/>
      <c r="T33" s="18"/>
      <c r="U33" s="18"/>
    </row>
    <row r="34" spans="1:21">
      <c r="A34" s="18"/>
      <c r="B34" s="18"/>
      <c r="C34" s="18"/>
      <c r="D34" s="18"/>
      <c r="E34" s="18"/>
      <c r="F34" s="18"/>
      <c r="G34" s="18"/>
      <c r="H34" s="18"/>
      <c r="I34" s="18"/>
      <c r="J34" s="18"/>
      <c r="K34" s="18"/>
      <c r="L34" s="18"/>
      <c r="M34" s="18"/>
      <c r="N34" s="18"/>
      <c r="O34" s="18"/>
      <c r="P34" s="18"/>
      <c r="Q34" s="18"/>
      <c r="R34" s="18"/>
      <c r="S34" s="18"/>
      <c r="T34" s="18"/>
      <c r="U34" s="18"/>
    </row>
    <row r="35" spans="1:21">
      <c r="A35" s="18"/>
      <c r="B35" s="18"/>
      <c r="C35" s="18"/>
      <c r="D35" s="18"/>
      <c r="E35" s="18"/>
      <c r="F35" s="18"/>
      <c r="G35" s="18"/>
      <c r="H35" s="18"/>
      <c r="I35" s="18"/>
      <c r="J35" s="18"/>
      <c r="K35" s="18"/>
      <c r="L35" s="18"/>
      <c r="M35" s="18"/>
      <c r="N35" s="18"/>
      <c r="O35" s="18"/>
      <c r="P35" s="18"/>
      <c r="Q35" s="18"/>
      <c r="R35" s="18"/>
      <c r="S35" s="18"/>
      <c r="T35" s="18"/>
      <c r="U35" s="18"/>
    </row>
    <row r="36" spans="1:21">
      <c r="A36" s="18"/>
      <c r="B36" s="18"/>
      <c r="C36" s="18"/>
      <c r="D36" s="18"/>
      <c r="E36" s="18"/>
      <c r="F36" s="18"/>
      <c r="G36" s="18"/>
      <c r="H36" s="18"/>
      <c r="I36" s="18"/>
      <c r="J36" s="18"/>
      <c r="K36" s="18"/>
      <c r="L36" s="18"/>
      <c r="M36" s="18"/>
      <c r="N36" s="18"/>
      <c r="O36" s="18"/>
      <c r="P36" s="18"/>
      <c r="Q36" s="18"/>
      <c r="R36" s="18"/>
      <c r="S36" s="18"/>
      <c r="T36" s="18"/>
      <c r="U36" s="18"/>
    </row>
    <row r="37" spans="1:21">
      <c r="A37" s="18"/>
      <c r="B37" s="18"/>
      <c r="C37" s="18"/>
      <c r="D37" s="18"/>
      <c r="E37" s="18"/>
      <c r="F37" s="18"/>
      <c r="G37" s="18"/>
      <c r="H37" s="18"/>
      <c r="I37" s="18"/>
      <c r="J37" s="18"/>
      <c r="K37" s="18"/>
      <c r="L37" s="18"/>
      <c r="M37" s="18"/>
      <c r="N37" s="18"/>
      <c r="O37" s="18"/>
      <c r="P37" s="18"/>
      <c r="Q37" s="18"/>
      <c r="R37" s="18"/>
      <c r="S37" s="18"/>
      <c r="T37" s="18"/>
      <c r="U37" s="18"/>
    </row>
    <row r="38" spans="1:21">
      <c r="A38" s="18"/>
      <c r="B38" s="18"/>
      <c r="C38" s="18"/>
      <c r="D38" s="18"/>
      <c r="E38" s="18"/>
      <c r="F38" s="18"/>
      <c r="G38" s="18"/>
      <c r="H38" s="18"/>
      <c r="I38" s="18"/>
      <c r="J38" s="18"/>
      <c r="K38" s="18"/>
      <c r="L38" s="18"/>
      <c r="M38" s="18"/>
      <c r="N38" s="18"/>
      <c r="O38" s="18"/>
      <c r="P38" s="18"/>
      <c r="Q38" s="18"/>
      <c r="R38" s="18"/>
      <c r="S38" s="18"/>
      <c r="T38" s="18"/>
      <c r="U38" s="18"/>
    </row>
    <row r="39" spans="1:21">
      <c r="A39" s="18"/>
      <c r="B39" s="18"/>
      <c r="C39" s="18"/>
      <c r="D39" s="18"/>
      <c r="E39" s="18"/>
      <c r="F39" s="18"/>
      <c r="G39" s="18"/>
      <c r="H39" s="18"/>
      <c r="I39" s="18"/>
      <c r="J39" s="18"/>
      <c r="K39" s="18"/>
      <c r="L39" s="18"/>
      <c r="M39" s="18"/>
      <c r="N39" s="18"/>
      <c r="O39" s="18"/>
      <c r="P39" s="18"/>
      <c r="Q39" s="18"/>
      <c r="R39" s="18"/>
      <c r="S39" s="18"/>
      <c r="T39" s="18"/>
      <c r="U39" s="18"/>
    </row>
    <row r="40" spans="1:21">
      <c r="A40" s="18"/>
      <c r="B40" s="18"/>
      <c r="C40" s="18"/>
      <c r="D40" s="18"/>
      <c r="E40" s="18"/>
      <c r="F40" s="18"/>
      <c r="G40" s="18"/>
      <c r="H40" s="18"/>
      <c r="I40" s="18"/>
      <c r="J40" s="18"/>
      <c r="K40" s="18"/>
      <c r="L40" s="18"/>
      <c r="M40" s="18"/>
      <c r="N40" s="18"/>
      <c r="O40" s="18"/>
      <c r="P40" s="18"/>
      <c r="Q40" s="18"/>
      <c r="R40" s="18"/>
      <c r="S40" s="18"/>
      <c r="T40" s="18"/>
      <c r="U40" s="18"/>
    </row>
    <row r="41" spans="1:21">
      <c r="A41" s="18"/>
      <c r="B41" s="18"/>
      <c r="C41" s="18"/>
      <c r="D41" s="18"/>
      <c r="E41" s="18"/>
      <c r="F41" s="18"/>
      <c r="G41" s="18"/>
      <c r="H41" s="18"/>
      <c r="I41" s="18"/>
      <c r="J41" s="18"/>
      <c r="K41" s="18"/>
      <c r="L41" s="18"/>
      <c r="M41" s="18"/>
      <c r="N41" s="18"/>
      <c r="O41" s="18"/>
      <c r="P41" s="18"/>
      <c r="Q41" s="18"/>
      <c r="R41" s="18"/>
      <c r="S41" s="18"/>
      <c r="T41" s="18"/>
      <c r="U41" s="18"/>
    </row>
    <row r="42" spans="1:21">
      <c r="A42" s="18"/>
      <c r="B42" s="18"/>
      <c r="C42" s="18"/>
      <c r="D42" s="18"/>
      <c r="E42" s="18"/>
      <c r="F42" s="18"/>
      <c r="G42" s="18"/>
      <c r="H42" s="18"/>
      <c r="I42" s="18"/>
      <c r="J42" s="18"/>
      <c r="K42" s="18"/>
      <c r="L42" s="18"/>
      <c r="M42" s="18"/>
      <c r="N42" s="18"/>
      <c r="O42" s="18"/>
      <c r="P42" s="18"/>
      <c r="Q42" s="18"/>
      <c r="R42" s="18"/>
      <c r="S42" s="18"/>
      <c r="T42" s="18"/>
      <c r="U42" s="18"/>
    </row>
    <row r="43" spans="1:21">
      <c r="A43" s="18"/>
      <c r="B43" s="18"/>
      <c r="C43" s="18"/>
      <c r="D43" s="18"/>
      <c r="E43" s="18"/>
      <c r="F43" s="18"/>
      <c r="G43" s="18"/>
      <c r="H43" s="18"/>
      <c r="I43" s="18"/>
      <c r="J43" s="18"/>
      <c r="K43" s="18"/>
      <c r="L43" s="18"/>
      <c r="M43" s="18"/>
      <c r="N43" s="18"/>
      <c r="O43" s="18"/>
      <c r="P43" s="18"/>
      <c r="Q43" s="18"/>
      <c r="R43" s="18"/>
      <c r="S43" s="18"/>
      <c r="T43" s="18"/>
      <c r="U43"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D90786F511EFD84BA1A9B9B0AE38E0BD" ma:contentTypeVersion="9" ma:contentTypeDescription="Create a new document." ma:contentTypeScope="" ma:versionID="aac2194bd8295de7545f6142f92c7965">
  <xsd:schema xmlns:xsd="http://www.w3.org/2001/XMLSchema" xmlns:xs="http://www.w3.org/2001/XMLSchema" xmlns:p="http://schemas.microsoft.com/office/2006/metadata/properties" xmlns:ns3="75576bcb-3c98-49ee-8081-c0472683e687" xmlns:ns4="5368328a-9886-41dd-947a-7d6c9160d14b" targetNamespace="http://schemas.microsoft.com/office/2006/metadata/properties" ma:root="true" ma:fieldsID="1db99baa5daaa935a0a63a084f41d273" ns3:_="" ns4:_="">
    <xsd:import namespace="75576bcb-3c98-49ee-8081-c0472683e687"/>
    <xsd:import namespace="5368328a-9886-41dd-947a-7d6c9160d14b"/>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4:SharedWithUsers" minOccurs="0"/>
                <xsd:element ref="ns4:SharedWithDetails" minOccurs="0"/>
                <xsd:element ref="ns4:SharingHintHash"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576bcb-3c98-49ee-8081-c0472683e6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68328a-9886-41dd-947a-7d6c9160d14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xml version="1.0" encoding="utf-8"?>
<?mso-contentType ?>
<FormTemplates xmlns="http://schemas.microsoft.com/sharepoint/v3/contenttype/forms">
  <Display>DocumentLibraryForm</Display>
  <Edit>DocumentLibraryForm</Edit>
  <New>DocumentLibraryForm</New>
</FormTemplates>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xml version="1.0" encoding="utf-8"?>
<p:properties xmlns:p="http://schemas.microsoft.com/office/2006/metadata/properties" xmlns:xsi="http://www.w3.org/2001/XMLSchema-instance" xmlns:pc="http://schemas.microsoft.com/office/infopath/2007/PartnerControls">
  <documentManagement>
    <_activity xmlns="75576bcb-3c98-49ee-8081-c0472683e687" xsi:nil="true"/>
  </documentManagement>
</p:properties>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3AB2CC20-13B7-4C8F-A110-65C8CE5ABA84}"/>
</file>

<file path=customXml/itemProps2.xml><?xml version="1.0" encoding="utf-8"?>
<ds:datastoreItem xmlns:ds="http://schemas.openxmlformats.org/officeDocument/2006/customXml" ds:itemID="{E30FBC2B-3A44-4440-BB53-9594F70F49CD}"/>
</file>

<file path=customXml/itemProps3.xml><?xml version="1.0" encoding="utf-8"?>
<ds:datastoreItem xmlns:ds="http://schemas.openxmlformats.org/officeDocument/2006/customXml" ds:itemID="{8CD80A60-940F-40C8-836B-804B3E9C143E}"/>
</file>

<file path=customXml/itemProps4.xml><?xml version="1.0" encoding="utf-8"?>
<ds:datastoreItem xmlns:ds="http://schemas.openxmlformats.org/officeDocument/2006/customXml" ds:itemID="{70A26944-C8C3-4981-BCE7-1F027FEF3FE5}"/>
</file>

<file path=customXml/itemProps5.xml><?xml version="1.0" encoding="utf-8"?>
<ds:datastoreItem xmlns:ds="http://schemas.openxmlformats.org/officeDocument/2006/customXml" ds:itemID="{9C16E56F-824F-43A0-8902-1A760D75DC83}"/>
</file>

<file path=customXml/itemProps6.xml><?xml version="1.0" encoding="utf-8"?>
<ds:datastoreItem xmlns:ds="http://schemas.openxmlformats.org/officeDocument/2006/customXml" ds:itemID="{7FFF5D7E-D3A9-459D-97C2-47D7967DF4A6}"/>
</file>

<file path=customXml/itemProps7.xml><?xml version="1.0" encoding="utf-8"?>
<ds:datastoreItem xmlns:ds="http://schemas.openxmlformats.org/officeDocument/2006/customXml" ds:itemID="{E1D22715-4DB0-4514-AF5D-E3E43CE918A0}"/>
</file>

<file path=customXml/itemProps8.xml><?xml version="1.0" encoding="utf-8"?>
<ds:datastoreItem xmlns:ds="http://schemas.openxmlformats.org/officeDocument/2006/customXml" ds:itemID="{5E3DB195-8639-41D2-8279-C85BAD41AA98}"/>
</file>

<file path=customXml/itemProps9.xml><?xml version="1.0" encoding="utf-8"?>
<ds:datastoreItem xmlns:ds="http://schemas.openxmlformats.org/officeDocument/2006/customXml" ds:itemID="{AEB6B86B-F73F-448F-9DBC-97DD33C1FAA2}"/>
</file>

<file path=customXml/itemProps10.xml><?xml version="1.0" encoding="utf-8"?>
<ds:datastoreItem xmlns:ds="http://schemas.openxmlformats.org/officeDocument/2006/customXml" ds:itemID="{BD1E86D0-278D-4C35-8C97-74334ECB8679}"/>
</file>

<file path=customXml/itemProps11.xml><?xml version="1.0" encoding="utf-8"?>
<ds:datastoreItem xmlns:ds="http://schemas.openxmlformats.org/officeDocument/2006/customXml" ds:itemID="{BF406966-C6B8-4713-8556-BB7C6694DB15}"/>
</file>

<file path=customXml/itemProps12.xml><?xml version="1.0" encoding="utf-8"?>
<ds:datastoreItem xmlns:ds="http://schemas.openxmlformats.org/officeDocument/2006/customXml" ds:itemID="{EAE60F94-BE24-44BA-8DC7-DA9180E27890}"/>
</file>

<file path=customXml/itemProps13.xml><?xml version="1.0" encoding="utf-8"?>
<ds:datastoreItem xmlns:ds="http://schemas.openxmlformats.org/officeDocument/2006/customXml" ds:itemID="{D78822F7-C8CE-4852-85A2-052929594644}"/>
</file>

<file path=customXml/itemProps14.xml><?xml version="1.0" encoding="utf-8"?>
<ds:datastoreItem xmlns:ds="http://schemas.openxmlformats.org/officeDocument/2006/customXml" ds:itemID="{F8F68D40-FE38-45C7-AC70-7C98A1E347BA}"/>
</file>

<file path=customXml/itemProps15.xml><?xml version="1.0" encoding="utf-8"?>
<ds:datastoreItem xmlns:ds="http://schemas.openxmlformats.org/officeDocument/2006/customXml" ds:itemID="{EB27FEB8-CB9E-496D-93E4-861DF5FFFFDB}"/>
</file>

<file path=customXml/itemProps16.xml><?xml version="1.0" encoding="utf-8"?>
<ds:datastoreItem xmlns:ds="http://schemas.openxmlformats.org/officeDocument/2006/customXml" ds:itemID="{9245E719-9188-4999-9B6D-1DFBFA4411B2}"/>
</file>

<file path=customXml/itemProps17.xml><?xml version="1.0" encoding="utf-8"?>
<ds:datastoreItem xmlns:ds="http://schemas.openxmlformats.org/officeDocument/2006/customXml" ds:itemID="{095F7C92-7AA2-4943-9609-D2EFA6A3779C}"/>
</file>

<file path=customXml/itemProps18.xml><?xml version="1.0" encoding="utf-8"?>
<ds:datastoreItem xmlns:ds="http://schemas.openxmlformats.org/officeDocument/2006/customXml" ds:itemID="{E39B53E0-7A40-4F35-9CC1-36BDAA5B0D08}"/>
</file>

<file path=customXml/itemProps19.xml><?xml version="1.0" encoding="utf-8"?>
<ds:datastoreItem xmlns:ds="http://schemas.openxmlformats.org/officeDocument/2006/customXml" ds:itemID="{B40D5859-73D2-4908-94FD-2C3A8DFA077A}"/>
</file>

<file path=customXml/itemProps20.xml><?xml version="1.0" encoding="utf-8"?>
<ds:datastoreItem xmlns:ds="http://schemas.openxmlformats.org/officeDocument/2006/customXml" ds:itemID="{8FD544E7-566C-4B7E-9916-05B8105945BB}"/>
</file>

<file path=customXml/itemProps21.xml><?xml version="1.0" encoding="utf-8"?>
<ds:datastoreItem xmlns:ds="http://schemas.openxmlformats.org/officeDocument/2006/customXml" ds:itemID="{8B21EB18-52E7-419F-A565-AA53DE202947}"/>
</file>

<file path=customXml/itemProps22.xml><?xml version="1.0" encoding="utf-8"?>
<ds:datastoreItem xmlns:ds="http://schemas.openxmlformats.org/officeDocument/2006/customXml" ds:itemID="{0410D211-D41B-444B-8938-D00BB13836EF}"/>
</file>

<file path=customXml/itemProps23.xml><?xml version="1.0" encoding="utf-8"?>
<ds:datastoreItem xmlns:ds="http://schemas.openxmlformats.org/officeDocument/2006/customXml" ds:itemID="{6AD71089-3567-4161-8A75-D7B36050F61D}"/>
</file>

<file path=customXml/itemProps24.xml><?xml version="1.0" encoding="utf-8"?>
<ds:datastoreItem xmlns:ds="http://schemas.openxmlformats.org/officeDocument/2006/customXml" ds:itemID="{2BFE0C2D-E328-48D9-B6B5-93100BA19307}"/>
</file>

<file path=customXml/itemProps25.xml><?xml version="1.0" encoding="utf-8"?>
<ds:datastoreItem xmlns:ds="http://schemas.openxmlformats.org/officeDocument/2006/customXml" ds:itemID="{8B94E75F-4AEE-4EDD-956D-A99332246CCF}"/>
</file>

<file path=customXml/itemProps26.xml><?xml version="1.0" encoding="utf-8"?>
<ds:datastoreItem xmlns:ds="http://schemas.openxmlformats.org/officeDocument/2006/customXml" ds:itemID="{E0E7E1E9-BE7B-472A-80DA-F91304907810}"/>
</file>

<file path=customXml/itemProps27.xml><?xml version="1.0" encoding="utf-8"?>
<ds:datastoreItem xmlns:ds="http://schemas.openxmlformats.org/officeDocument/2006/customXml" ds:itemID="{41BC9D68-99EC-46B3-9241-F57939AFAB33}"/>
</file>

<file path=customXml/itemProps28.xml><?xml version="1.0" encoding="utf-8"?>
<ds:datastoreItem xmlns:ds="http://schemas.openxmlformats.org/officeDocument/2006/customXml" ds:itemID="{034D428D-4E66-4B0B-A4FF-4BFCFBB70BBE}"/>
</file>

<file path=customXml/itemProps29.xml><?xml version="1.0" encoding="utf-8"?>
<ds:datastoreItem xmlns:ds="http://schemas.openxmlformats.org/officeDocument/2006/customXml" ds:itemID="{DB92C2BB-8913-4947-8A90-EBDE59292A2D}"/>
</file>

<file path=customXml/itemProps30.xml><?xml version="1.0" encoding="utf-8"?>
<ds:datastoreItem xmlns:ds="http://schemas.openxmlformats.org/officeDocument/2006/customXml" ds:itemID="{C77A0FD9-43C7-4A6A-BEAC-176CD009AFF2}"/>
</file>

<file path=customXml/itemProps31.xml><?xml version="1.0" encoding="utf-8"?>
<ds:datastoreItem xmlns:ds="http://schemas.openxmlformats.org/officeDocument/2006/customXml" ds:itemID="{C408D8E3-2766-4D7F-B405-F2505BBFC042}"/>
</file>

<file path=customXml/itemProps32.xml><?xml version="1.0" encoding="utf-8"?>
<ds:datastoreItem xmlns:ds="http://schemas.openxmlformats.org/officeDocument/2006/customXml" ds:itemID="{3E9C387A-D94D-4BC7-8F7B-AAC7805AC234}"/>
</file>

<file path=customXml/itemProps33.xml><?xml version="1.0" encoding="utf-8"?>
<ds:datastoreItem xmlns:ds="http://schemas.openxmlformats.org/officeDocument/2006/customXml" ds:itemID="{AA72DF4B-1DE8-46EB-8F47-B151B9D3E085}"/>
</file>

<file path=customXml/itemProps34.xml><?xml version="1.0" encoding="utf-8"?>
<ds:datastoreItem xmlns:ds="http://schemas.openxmlformats.org/officeDocument/2006/customXml" ds:itemID="{53589AA2-488E-4681-BC7B-F7D137709B93}"/>
</file>

<file path=customXml/itemProps35.xml><?xml version="1.0" encoding="utf-8"?>
<ds:datastoreItem xmlns:ds="http://schemas.openxmlformats.org/officeDocument/2006/customXml" ds:itemID="{81356828-A269-4CF5-B5F1-B72B8A74F195}"/>
</file>

<file path=customXml/itemProps36.xml><?xml version="1.0" encoding="utf-8"?>
<ds:datastoreItem xmlns:ds="http://schemas.openxmlformats.org/officeDocument/2006/customXml" ds:itemID="{D3BC8214-4AF6-4A39-AC4C-8A45F9C7A9FD}"/>
</file>

<file path=customXml/itemProps37.xml><?xml version="1.0" encoding="utf-8"?>
<ds:datastoreItem xmlns:ds="http://schemas.openxmlformats.org/officeDocument/2006/customXml" ds:itemID="{48A68C3A-6CD7-44E9-925C-8F63DE490B82}"/>
</file>

<file path=customXml/itemProps38.xml><?xml version="1.0" encoding="utf-8"?>
<ds:datastoreItem xmlns:ds="http://schemas.openxmlformats.org/officeDocument/2006/customXml" ds:itemID="{B7D10CE4-D6B8-4A04-93B7-2A21DEFB6282}"/>
</file>

<file path=customXml/itemProps39.xml><?xml version="1.0" encoding="utf-8"?>
<ds:datastoreItem xmlns:ds="http://schemas.openxmlformats.org/officeDocument/2006/customXml" ds:itemID="{279D2900-7062-41E8-96E1-0631CAA487B5}"/>
</file>

<file path=customXml/itemProps40.xml><?xml version="1.0" encoding="utf-8"?>
<ds:datastoreItem xmlns:ds="http://schemas.openxmlformats.org/officeDocument/2006/customXml" ds:itemID="{94582C64-67DA-4C7A-B586-74FFE0B26E6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Mythily M</dc:creator>
  <cp:keywords/>
  <dc:description/>
  <cp:lastModifiedBy/>
  <cp:revision/>
  <dcterms:created xsi:type="dcterms:W3CDTF">2026-06-16T10:55:17Z</dcterms:created>
  <dcterms:modified xsi:type="dcterms:W3CDTF">2026-06-29T09:18:46Z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0x010100D90786F511EFD84BA1A9B9B0AE38E0BD</vt:lpwstr>
  </property>
</Properties>
</file>